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eaning Log" sheetId="2" state="visible" r:id="rId4"/>
    <sheet name="Raw Data" sheetId="3" state="visible" r:id="rId5"/>
    <sheet name="Data" sheetId="4" state="visible" r:id="rId6"/>
    <sheet name="Summary" sheetId="5" state="visible" r:id="rId7"/>
  </sheets>
  <definedNames>
    <definedName function="false" hidden="false" localSheetId="0" name="_xlnm.Print_Area" vbProcedure="false">Dashboard!$A$1:$N$48</definedName>
    <definedName function="false" hidden="true" localSheetId="3" name="_xlnm._FilterDatabase" vbProcedure="false">Data!$A$1:$M$901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<sst xmlns="http://schemas.openxmlformats.org/spreadsheetml/2006/main" count="12134" uniqueCount="1725">
  <si>
    <t xml:space="preserve">E-commerce Sales Dashboard 2025</t>
  </si>
  <si>
    <t xml:space="preserve">Sample project by Aman Nadeem. Pick a region or category and everything updates.</t>
  </si>
  <si>
    <t xml:space="preserve">Region</t>
  </si>
  <si>
    <t xml:space="preserve">All</t>
  </si>
  <si>
    <t xml:space="preserve">Category</t>
  </si>
  <si>
    <t xml:space="preserve">Click the orange cells to filter</t>
  </si>
  <si>
    <t xml:space="preserve">Net Revenue</t>
  </si>
  <si>
    <t xml:space="preserve">Gross Profit</t>
  </si>
  <si>
    <t xml:space="preserve">Gross Margin</t>
  </si>
  <si>
    <t xml:space="preserve">Orders</t>
  </si>
  <si>
    <t xml:space="preserve">Avg Order Value</t>
  </si>
  <si>
    <t xml:space="preserve">Return Rate</t>
  </si>
  <si>
    <t xml:space="preserve">Sample data is randomly generated for demonstration. Formulas power every number and chart. Built in Excel by Aman Nadeem.</t>
  </si>
  <si>
    <t xml:space="preserve">Data cleaning log</t>
  </si>
  <si>
    <t xml:space="preserve">What was wrong with the raw export and what I did about it. Sample data, generated for demonstration.</t>
  </si>
  <si>
    <t xml:space="preserve">Issue found</t>
  </si>
  <si>
    <t xml:space="preserve">Rows affected</t>
  </si>
  <si>
    <t xml:space="preserve">Fix applied</t>
  </si>
  <si>
    <t xml:space="preserve">Rows in raw export</t>
  </si>
  <si>
    <t xml:space="preserve">Starting point</t>
  </si>
  <si>
    <t xml:space="preserve">Duplicate orders</t>
  </si>
  <si>
    <t xml:space="preserve">Removed, keeping one row per Order ID</t>
  </si>
  <si>
    <t xml:space="preserve">Dates stored as mixed text formats</t>
  </si>
  <si>
    <t xml:space="preserve">Converted every date to a true Excel date</t>
  </si>
  <si>
    <t xml:space="preserve">Inconsistent capitalization and spaces in text</t>
  </si>
  <si>
    <t xml:space="preserve">Trimmed and standardized region, category and status</t>
  </si>
  <si>
    <t xml:space="preserve">Prices stored as text with a $ sign</t>
  </si>
  <si>
    <t xml:space="preserve">Converted to numbers</t>
  </si>
  <si>
    <t xml:space="preserve">Missing customer names</t>
  </si>
  <si>
    <t xml:space="preserve">Kept the order (revenue still counts) and flagged the gap</t>
  </si>
  <si>
    <t xml:space="preserve">Rows in clean data</t>
  </si>
  <si>
    <t xml:space="preserve">Ready for analysis</t>
  </si>
  <si>
    <t xml:space="preserve">Rows removed</t>
  </si>
  <si>
    <t xml:space="preserve">Duplicates only. No valid order was deleted</t>
  </si>
  <si>
    <t xml:space="preserve">Note: issue counts were recorded while cleaning the raw sheet and typed in as values. Row counts are live formulas.</t>
  </si>
  <si>
    <t xml:space="preserve">order id</t>
  </si>
  <si>
    <t xml:space="preserve">date</t>
  </si>
  <si>
    <t xml:space="preserve">customer</t>
  </si>
  <si>
    <t xml:space="preserve">region</t>
  </si>
  <si>
    <t xml:space="preserve">category</t>
  </si>
  <si>
    <t xml:space="preserve">product</t>
  </si>
  <si>
    <t xml:space="preserve">qty</t>
  </si>
  <si>
    <t xml:space="preserve">price</t>
  </si>
  <si>
    <t xml:space="preserve">status</t>
  </si>
  <si>
    <t xml:space="preserve">ORD-10360</t>
  </si>
  <si>
    <t xml:space="preserve">17-06-25</t>
  </si>
  <si>
    <t xml:space="preserve">Omar Wilson</t>
  </si>
  <si>
    <t xml:space="preserve">USA</t>
  </si>
  <si>
    <t xml:space="preserve">Beauty</t>
  </si>
  <si>
    <t xml:space="preserve">Face Roller</t>
  </si>
  <si>
    <t xml:space="preserve">Delivered</t>
  </si>
  <si>
    <t xml:space="preserve">ORD-10001</t>
  </si>
  <si>
    <t xml:space="preserve">Adam Wilson</t>
  </si>
  <si>
    <t xml:space="preserve">Canada </t>
  </si>
  <si>
    <t xml:space="preserve">Home</t>
  </si>
  <si>
    <t xml:space="preserve">LED Desk Lamp</t>
  </si>
  <si>
    <t xml:space="preserve">ORD-10395</t>
  </si>
  <si>
    <t xml:space="preserve">01 Jul 2025</t>
  </si>
  <si>
    <t xml:space="preserve">Liam Ali</t>
  </si>
  <si>
    <t xml:space="preserve">Canada</t>
  </si>
  <si>
    <t xml:space="preserve">fashion</t>
  </si>
  <si>
    <t xml:space="preserve">Sunglasses</t>
  </si>
  <si>
    <t xml:space="preserve">ORD-10654</t>
  </si>
  <si>
    <t xml:space="preserve">2025-10-12</t>
  </si>
  <si>
    <t xml:space="preserve">Ayesha Ali</t>
  </si>
  <si>
    <t xml:space="preserve">UAE</t>
  </si>
  <si>
    <t xml:space="preserve">FASHION</t>
  </si>
  <si>
    <t xml:space="preserve">Leather Wallet</t>
  </si>
  <si>
    <t xml:space="preserve">ORD-10658</t>
  </si>
  <si>
    <t xml:space="preserve">Sam Butt</t>
  </si>
  <si>
    <t xml:space="preserve">UK</t>
  </si>
  <si>
    <t xml:space="preserve">Home </t>
  </si>
  <si>
    <t xml:space="preserve">Scented Candle Set</t>
  </si>
  <si>
    <t xml:space="preserve">ORD-10686</t>
  </si>
  <si>
    <t xml:space="preserve">24-10-25</t>
  </si>
  <si>
    <t xml:space="preserve">Emma Moore</t>
  </si>
  <si>
    <t xml:space="preserve">Kitchen Organizer</t>
  </si>
  <si>
    <t xml:space="preserve">$32.00</t>
  </si>
  <si>
    <t xml:space="preserve">ORD-10448</t>
  </si>
  <si>
    <t xml:space="preserve">22 Jul 2025</t>
  </si>
  <si>
    <t xml:space="preserve">Sana Rana</t>
  </si>
  <si>
    <t xml:space="preserve">Fashion</t>
  </si>
  <si>
    <t xml:space="preserve">Canvas Tote</t>
  </si>
  <si>
    <t xml:space="preserve">ORD-10427</t>
  </si>
  <si>
    <t xml:space="preserve">2025-07-11</t>
  </si>
  <si>
    <t xml:space="preserve">ORD-10033</t>
  </si>
  <si>
    <t xml:space="preserve">Liam Hussain</t>
  </si>
  <si>
    <t xml:space="preserve">CANADA</t>
  </si>
  <si>
    <t xml:space="preserve">$35.00</t>
  </si>
  <si>
    <t xml:space="preserve">ORD-10626</t>
  </si>
  <si>
    <t xml:space="preserve">2025-10-04</t>
  </si>
  <si>
    <t xml:space="preserve">Sara Taylor</t>
  </si>
  <si>
    <t xml:space="preserve">Electronics</t>
  </si>
  <si>
    <t xml:space="preserve">Phone Stand</t>
  </si>
  <si>
    <t xml:space="preserve">$15.00</t>
  </si>
  <si>
    <t xml:space="preserve">ORD-10819</t>
  </si>
  <si>
    <t xml:space="preserve">08 Dec 2025</t>
  </si>
  <si>
    <t xml:space="preserve">Noah Ali</t>
  </si>
  <si>
    <t xml:space="preserve">ORD-10164</t>
  </si>
  <si>
    <t xml:space="preserve">2025-03-24</t>
  </si>
  <si>
    <t xml:space="preserve">Hassan Malik</t>
  </si>
  <si>
    <t xml:space="preserve">Beauty </t>
  </si>
  <si>
    <t xml:space="preserve">ORD-10484</t>
  </si>
  <si>
    <t xml:space="preserve">08 Aug 2025</t>
  </si>
  <si>
    <t xml:space="preserve">Ben Davis</t>
  </si>
  <si>
    <t xml:space="preserve">Wireless Earbuds</t>
  </si>
  <si>
    <t xml:space="preserve">ORD-10603</t>
  </si>
  <si>
    <t xml:space="preserve">2025-09-25</t>
  </si>
  <si>
    <t xml:space="preserve">Ryan Rana</t>
  </si>
  <si>
    <t xml:space="preserve">Australia</t>
  </si>
  <si>
    <t xml:space="preserve">Fitness</t>
  </si>
  <si>
    <t xml:space="preserve">Resistance Bands</t>
  </si>
  <si>
    <t xml:space="preserve">Returned</t>
  </si>
  <si>
    <t xml:space="preserve">ORD-10035</t>
  </si>
  <si>
    <t xml:space="preserve">16-01-25</t>
  </si>
  <si>
    <t xml:space="preserve">Hassan Butt</t>
  </si>
  <si>
    <t xml:space="preserve">Vitamin C Serum</t>
  </si>
  <si>
    <t xml:space="preserve">ORD-10279</t>
  </si>
  <si>
    <t xml:space="preserve">05/15/2025</t>
  </si>
  <si>
    <t xml:space="preserve">Hina Wilson</t>
  </si>
  <si>
    <t xml:space="preserve">Fitness </t>
  </si>
  <si>
    <t xml:space="preserve">Water Bottle</t>
  </si>
  <si>
    <t xml:space="preserve">$21.00</t>
  </si>
  <si>
    <t xml:space="preserve">ORD-10420</t>
  </si>
  <si>
    <t xml:space="preserve">09 Jul 2025</t>
  </si>
  <si>
    <t xml:space="preserve">Ella Rana</t>
  </si>
  <si>
    <t xml:space="preserve">$49.00</t>
  </si>
  <si>
    <t xml:space="preserve">ORD-10310</t>
  </si>
  <si>
    <t xml:space="preserve">26-05-25</t>
  </si>
  <si>
    <t xml:space="preserve">Lucy Malik</t>
  </si>
  <si>
    <t xml:space="preserve">ORD-10146</t>
  </si>
  <si>
    <t xml:space="preserve">03/14/2025</t>
  </si>
  <si>
    <t xml:space="preserve">ORD-10478</t>
  </si>
  <si>
    <t xml:space="preserve">06-08-25</t>
  </si>
  <si>
    <t xml:space="preserve">Nora Taylor</t>
  </si>
  <si>
    <t xml:space="preserve">$45.00</t>
  </si>
  <si>
    <t xml:space="preserve">DELIVERED</t>
  </si>
  <si>
    <t xml:space="preserve">ORD-10378</t>
  </si>
  <si>
    <t xml:space="preserve">23-06-25</t>
  </si>
  <si>
    <t xml:space="preserve">Noah Davis</t>
  </si>
  <si>
    <t xml:space="preserve">electronics</t>
  </si>
  <si>
    <t xml:space="preserve">ORD-10125</t>
  </si>
  <si>
    <t xml:space="preserve">04 Mar 2025</t>
  </si>
  <si>
    <t xml:space="preserve">Lucy Ali</t>
  </si>
  <si>
    <t xml:space="preserve">Hair Dryer</t>
  </si>
  <si>
    <t xml:space="preserve">ORD-10283</t>
  </si>
  <si>
    <t xml:space="preserve">2025-05-17</t>
  </si>
  <si>
    <t xml:space="preserve">Sara Ali</t>
  </si>
  <si>
    <t xml:space="preserve">ORD-10657</t>
  </si>
  <si>
    <t xml:space="preserve">15 Oct 2025</t>
  </si>
  <si>
    <t xml:space="preserve">Omar Moore</t>
  </si>
  <si>
    <t xml:space="preserve">ORD-10400</t>
  </si>
  <si>
    <t xml:space="preserve">ORD-10695</t>
  </si>
  <si>
    <t xml:space="preserve">Ella Malik</t>
  </si>
  <si>
    <t xml:space="preserve">$22.00</t>
  </si>
  <si>
    <t xml:space="preserve">ORD-10575</t>
  </si>
  <si>
    <t xml:space="preserve">Ali Taylor</t>
  </si>
  <si>
    <t xml:space="preserve">usa</t>
  </si>
  <si>
    <t xml:space="preserve">ORD-10290</t>
  </si>
  <si>
    <t xml:space="preserve">19-05-25</t>
  </si>
  <si>
    <t xml:space="preserve">ORD-10619</t>
  </si>
  <si>
    <t xml:space="preserve">Zara Davis</t>
  </si>
  <si>
    <t xml:space="preserve">$28.00</t>
  </si>
  <si>
    <t xml:space="preserve">Delivered </t>
  </si>
  <si>
    <t xml:space="preserve">ORD-10791</t>
  </si>
  <si>
    <t xml:space="preserve">2025-11-28</t>
  </si>
  <si>
    <t xml:space="preserve">Sara Ahmed</t>
  </si>
  <si>
    <t xml:space="preserve">HOME</t>
  </si>
  <si>
    <t xml:space="preserve">ORD-10278</t>
  </si>
  <si>
    <t xml:space="preserve">05/14/2025</t>
  </si>
  <si>
    <t xml:space="preserve">Ayesha Shah</t>
  </si>
  <si>
    <t xml:space="preserve"> USA </t>
  </si>
  <si>
    <t xml:space="preserve">ORD-10235</t>
  </si>
  <si>
    <t xml:space="preserve">27 Apr 2025</t>
  </si>
  <si>
    <t xml:space="preserve">Nora Butt</t>
  </si>
  <si>
    <t xml:space="preserve">ORD-10246</t>
  </si>
  <si>
    <t xml:space="preserve">2025-05-02</t>
  </si>
  <si>
    <t xml:space="preserve">Sana Hussain</t>
  </si>
  <si>
    <t xml:space="preserve">ORD-10532</t>
  </si>
  <si>
    <t xml:space="preserve">26-08-25</t>
  </si>
  <si>
    <t xml:space="preserve">$18.00</t>
  </si>
  <si>
    <t xml:space="preserve">ORD-10802</t>
  </si>
  <si>
    <t xml:space="preserve">12/04/2025</t>
  </si>
  <si>
    <t xml:space="preserve">Sana Moore</t>
  </si>
  <si>
    <t xml:space="preserve">ORD-10595</t>
  </si>
  <si>
    <t xml:space="preserve">23-09-25</t>
  </si>
  <si>
    <t xml:space="preserve">Sam Smith</t>
  </si>
  <si>
    <t xml:space="preserve">ORD-10277</t>
  </si>
  <si>
    <t xml:space="preserve">14-05-25</t>
  </si>
  <si>
    <t xml:space="preserve">Omar Ahmed</t>
  </si>
  <si>
    <t xml:space="preserve">ORD-10244</t>
  </si>
  <si>
    <t xml:space="preserve">05/01/2025</t>
  </si>
  <si>
    <t xml:space="preserve">Hina Davis</t>
  </si>
  <si>
    <t xml:space="preserve">ORD-10861</t>
  </si>
  <si>
    <t xml:space="preserve">19-12-25</t>
  </si>
  <si>
    <t xml:space="preserve">Sam Davis</t>
  </si>
  <si>
    <t xml:space="preserve">Smart Watch</t>
  </si>
  <si>
    <t xml:space="preserve">ORD-10236</t>
  </si>
  <si>
    <t xml:space="preserve">27-04-25</t>
  </si>
  <si>
    <t xml:space="preserve">delivered</t>
  </si>
  <si>
    <t xml:space="preserve">ORD-10868</t>
  </si>
  <si>
    <t xml:space="preserve">20-12-25</t>
  </si>
  <si>
    <t xml:space="preserve"> Canada </t>
  </si>
  <si>
    <t xml:space="preserve">ORD-10187</t>
  </si>
  <si>
    <t xml:space="preserve">04/02/2025</t>
  </si>
  <si>
    <t xml:space="preserve">ORD-10746</t>
  </si>
  <si>
    <t xml:space="preserve">11/15/2025</t>
  </si>
  <si>
    <t xml:space="preserve">Electronics </t>
  </si>
  <si>
    <t xml:space="preserve">ORD-10504</t>
  </si>
  <si>
    <t xml:space="preserve">13-08-25</t>
  </si>
  <si>
    <t xml:space="preserve">Sana Clark</t>
  </si>
  <si>
    <t xml:space="preserve">ORD-10486</t>
  </si>
  <si>
    <t xml:space="preserve">08/09/2025</t>
  </si>
  <si>
    <t xml:space="preserve">ORD-10227</t>
  </si>
  <si>
    <t xml:space="preserve">Sam Ahmed</t>
  </si>
  <si>
    <t xml:space="preserve">ORD-10419</t>
  </si>
  <si>
    <t xml:space="preserve">Adam Khan</t>
  </si>
  <si>
    <t xml:space="preserve">ORD-10590</t>
  </si>
  <si>
    <t xml:space="preserve">09/21/2025</t>
  </si>
  <si>
    <t xml:space="preserve">Mia Malik</t>
  </si>
  <si>
    <t xml:space="preserve">$89.00</t>
  </si>
  <si>
    <t xml:space="preserve">ORD-10648</t>
  </si>
  <si>
    <t xml:space="preserve">Australia </t>
  </si>
  <si>
    <t xml:space="preserve">ORD-10899</t>
  </si>
  <si>
    <t xml:space="preserve">Adam Smith</t>
  </si>
  <si>
    <t xml:space="preserve">ORD-10472</t>
  </si>
  <si>
    <t xml:space="preserve">08/04/2025</t>
  </si>
  <si>
    <t xml:space="preserve">Hassan Taylor</t>
  </si>
  <si>
    <t xml:space="preserve">BEAUTY</t>
  </si>
  <si>
    <t xml:space="preserve">$54.00</t>
  </si>
  <si>
    <t xml:space="preserve">ORD-10513</t>
  </si>
  <si>
    <t xml:space="preserve">18 Aug 2025</t>
  </si>
  <si>
    <t xml:space="preserve">ORD-10875</t>
  </si>
  <si>
    <t xml:space="preserve">Jack Butt</t>
  </si>
  <si>
    <t xml:space="preserve">Fashion </t>
  </si>
  <si>
    <t xml:space="preserve">ORD-10251</t>
  </si>
  <si>
    <t xml:space="preserve">Yoga Mat</t>
  </si>
  <si>
    <t xml:space="preserve">ORD-10463</t>
  </si>
  <si>
    <t xml:space="preserve">01-08-25</t>
  </si>
  <si>
    <t xml:space="preserve">Ali Rana</t>
  </si>
  <si>
    <t xml:space="preserve">ORD-10216</t>
  </si>
  <si>
    <t xml:space="preserve">Adam Ahmed</t>
  </si>
  <si>
    <t xml:space="preserve">$30.00</t>
  </si>
  <si>
    <t xml:space="preserve">ORD-10368</t>
  </si>
  <si>
    <t xml:space="preserve">2025-06-18</t>
  </si>
  <si>
    <t xml:space="preserve">Ali Moore</t>
  </si>
  <si>
    <t xml:space="preserve">ORD-10466</t>
  </si>
  <si>
    <t xml:space="preserve">2025-08-02</t>
  </si>
  <si>
    <t xml:space="preserve">Noah Hussain</t>
  </si>
  <si>
    <t xml:space="preserve">ORD-10302</t>
  </si>
  <si>
    <t xml:space="preserve">Lucy Young</t>
  </si>
  <si>
    <t xml:space="preserve">ORD-10362</t>
  </si>
  <si>
    <t xml:space="preserve">17 Jun 2025</t>
  </si>
  <si>
    <t xml:space="preserve">AUSTRALIA</t>
  </si>
  <si>
    <t xml:space="preserve">ORD-10514</t>
  </si>
  <si>
    <t xml:space="preserve">08/19/2025</t>
  </si>
  <si>
    <t xml:space="preserve">ORD-10143</t>
  </si>
  <si>
    <t xml:space="preserve">12-03-25</t>
  </si>
  <si>
    <t xml:space="preserve">Zara Khan</t>
  </si>
  <si>
    <t xml:space="preserve">$38.00</t>
  </si>
  <si>
    <t xml:space="preserve">ORD-10822</t>
  </si>
  <si>
    <t xml:space="preserve">09 Dec 2025</t>
  </si>
  <si>
    <t xml:space="preserve">Ryan Clark</t>
  </si>
  <si>
    <t xml:space="preserve">ORD-10439</t>
  </si>
  <si>
    <t xml:space="preserve">19-07-25</t>
  </si>
  <si>
    <t xml:space="preserve">ORD-10458</t>
  </si>
  <si>
    <t xml:space="preserve">2025-07-27</t>
  </si>
  <si>
    <t xml:space="preserve">ORD-10845</t>
  </si>
  <si>
    <t xml:space="preserve">14 Dec 2025</t>
  </si>
  <si>
    <t xml:space="preserve">Sam Clark</t>
  </si>
  <si>
    <t xml:space="preserve">ORD-10063</t>
  </si>
  <si>
    <t xml:space="preserve">28 Jan 2025</t>
  </si>
  <si>
    <t xml:space="preserve">Sara Brown</t>
  </si>
  <si>
    <t xml:space="preserve">ORD-10799</t>
  </si>
  <si>
    <t xml:space="preserve">ORD-10790</t>
  </si>
  <si>
    <t xml:space="preserve">28 Nov 2025</t>
  </si>
  <si>
    <t xml:space="preserve">ORD-10476</t>
  </si>
  <si>
    <t xml:space="preserve">05 Aug 2025</t>
  </si>
  <si>
    <t xml:space="preserve">Jack Smith</t>
  </si>
  <si>
    <t xml:space="preserve">ORD-10046</t>
  </si>
  <si>
    <t xml:space="preserve">01/21/2025</t>
  </si>
  <si>
    <t xml:space="preserve">Mia Smith</t>
  </si>
  <si>
    <t xml:space="preserve">USA </t>
  </si>
  <si>
    <t xml:space="preserve">ORD-10503</t>
  </si>
  <si>
    <t xml:space="preserve">ORD-10295</t>
  </si>
  <si>
    <t xml:space="preserve">05/20/2025</t>
  </si>
  <si>
    <t xml:space="preserve">Omar Malik</t>
  </si>
  <si>
    <t xml:space="preserve">australia</t>
  </si>
  <si>
    <t xml:space="preserve">Returned </t>
  </si>
  <si>
    <t xml:space="preserve">ORD-10477</t>
  </si>
  <si>
    <t xml:space="preserve">06 Aug 2025</t>
  </si>
  <si>
    <t xml:space="preserve">Ben Moore</t>
  </si>
  <si>
    <t xml:space="preserve">home</t>
  </si>
  <si>
    <t xml:space="preserve">$24.00</t>
  </si>
  <si>
    <t xml:space="preserve">ORD-10023</t>
  </si>
  <si>
    <t xml:space="preserve">12-01-25</t>
  </si>
  <si>
    <t xml:space="preserve">Sana Wilson</t>
  </si>
  <si>
    <t xml:space="preserve">fitness</t>
  </si>
  <si>
    <t xml:space="preserve">ORD-10234</t>
  </si>
  <si>
    <t xml:space="preserve">04/27/2025</t>
  </si>
  <si>
    <t xml:space="preserve">Hina Young</t>
  </si>
  <si>
    <t xml:space="preserve">uk</t>
  </si>
  <si>
    <t xml:space="preserve">ORD-10574</t>
  </si>
  <si>
    <t xml:space="preserve">09/15/2025</t>
  </si>
  <si>
    <t xml:space="preserve">Ryan Brown</t>
  </si>
  <si>
    <t xml:space="preserve">ORD-10289</t>
  </si>
  <si>
    <t xml:space="preserve">Hina Butt</t>
  </si>
  <si>
    <t xml:space="preserve">ORD-10198</t>
  </si>
  <si>
    <t xml:space="preserve">04/08/2025</t>
  </si>
  <si>
    <t xml:space="preserve">ORD-10032</t>
  </si>
  <si>
    <t xml:space="preserve">15 Jan 2025</t>
  </si>
  <si>
    <t xml:space="preserve">ORD-10557</t>
  </si>
  <si>
    <t xml:space="preserve">09/05/2025</t>
  </si>
  <si>
    <t xml:space="preserve">ORD-10144</t>
  </si>
  <si>
    <t xml:space="preserve">ORD-10044</t>
  </si>
  <si>
    <t xml:space="preserve">21 Jan 2025</t>
  </si>
  <si>
    <t xml:space="preserve">ORD-10291</t>
  </si>
  <si>
    <t xml:space="preserve">05/19/2025</t>
  </si>
  <si>
    <t xml:space="preserve">Sam Wilson</t>
  </si>
  <si>
    <t xml:space="preserve"> UK </t>
  </si>
  <si>
    <t xml:space="preserve">returned</t>
  </si>
  <si>
    <t xml:space="preserve">ORD-10261</t>
  </si>
  <si>
    <t xml:space="preserve">10-05-25</t>
  </si>
  <si>
    <t xml:space="preserve">Ayesha Khan</t>
  </si>
  <si>
    <t xml:space="preserve">ORD-10257</t>
  </si>
  <si>
    <t xml:space="preserve">08-05-25</t>
  </si>
  <si>
    <t xml:space="preserve">Ryan Ali</t>
  </si>
  <si>
    <t xml:space="preserve">ORD-10392</t>
  </si>
  <si>
    <t xml:space="preserve">28 Jun 2025</t>
  </si>
  <si>
    <t xml:space="preserve">$16.00</t>
  </si>
  <si>
    <t xml:space="preserve">ORD-10765</t>
  </si>
  <si>
    <t xml:space="preserve">2025-11-22</t>
  </si>
  <si>
    <t xml:space="preserve">Zara Hussain</t>
  </si>
  <si>
    <t xml:space="preserve">ORD-10005</t>
  </si>
  <si>
    <t xml:space="preserve">01/02/2025</t>
  </si>
  <si>
    <t xml:space="preserve">Liam Smith</t>
  </si>
  <si>
    <t xml:space="preserve">ORD-10253</t>
  </si>
  <si>
    <t xml:space="preserve">07-05-25</t>
  </si>
  <si>
    <t xml:space="preserve">Sam Moore</t>
  </si>
  <si>
    <t xml:space="preserve">ORD-10670</t>
  </si>
  <si>
    <t xml:space="preserve">10/21/2025</t>
  </si>
  <si>
    <t xml:space="preserve">ORD-10481</t>
  </si>
  <si>
    <t xml:space="preserve">08/07/2025</t>
  </si>
  <si>
    <t xml:space="preserve">ORD-10501</t>
  </si>
  <si>
    <t xml:space="preserve">Ryan Smith</t>
  </si>
  <si>
    <t xml:space="preserve">canada</t>
  </si>
  <si>
    <t xml:space="preserve">ORD-10762</t>
  </si>
  <si>
    <t xml:space="preserve">21 Nov 2025</t>
  </si>
  <si>
    <t xml:space="preserve">Ella Young</t>
  </si>
  <si>
    <t xml:space="preserve">ORD-10405</t>
  </si>
  <si>
    <t xml:space="preserve">07/02/2025</t>
  </si>
  <si>
    <t xml:space="preserve">ORD-10617</t>
  </si>
  <si>
    <t xml:space="preserve">ORD-10089</t>
  </si>
  <si>
    <t xml:space="preserve">02/14/2025</t>
  </si>
  <si>
    <t xml:space="preserve">ORD-10088</t>
  </si>
  <si>
    <t xml:space="preserve">ORD-10440</t>
  </si>
  <si>
    <t xml:space="preserve">19 Jul 2025</t>
  </si>
  <si>
    <t xml:space="preserve">Sam Brown</t>
  </si>
  <si>
    <t xml:space="preserve">ORD-10370</t>
  </si>
  <si>
    <t xml:space="preserve">06/19/2025</t>
  </si>
  <si>
    <t xml:space="preserve">ORD-10024</t>
  </si>
  <si>
    <t xml:space="preserve">01/12/2025</t>
  </si>
  <si>
    <t xml:space="preserve">Ryan Ahmed</t>
  </si>
  <si>
    <t xml:space="preserve">ORD-10372</t>
  </si>
  <si>
    <t xml:space="preserve">20-06-25</t>
  </si>
  <si>
    <t xml:space="preserve">ORD-10706</t>
  </si>
  <si>
    <t xml:space="preserve">2025-11-04</t>
  </si>
  <si>
    <t xml:space="preserve">Liam Malik</t>
  </si>
  <si>
    <t xml:space="preserve">ORD-10488</t>
  </si>
  <si>
    <t xml:space="preserve">2025-08-09</t>
  </si>
  <si>
    <t xml:space="preserve">ORD-10720</t>
  </si>
  <si>
    <t xml:space="preserve">11/09/2025</t>
  </si>
  <si>
    <t xml:space="preserve">FITNESS</t>
  </si>
  <si>
    <t xml:space="preserve">ORD-10408</t>
  </si>
  <si>
    <t xml:space="preserve">03-07-25</t>
  </si>
  <si>
    <t xml:space="preserve">Ben Hussain</t>
  </si>
  <si>
    <t xml:space="preserve">ORD-10642</t>
  </si>
  <si>
    <t xml:space="preserve">Mia Moore</t>
  </si>
  <si>
    <t xml:space="preserve">ORD-10389</t>
  </si>
  <si>
    <t xml:space="preserve">27-06-25</t>
  </si>
  <si>
    <t xml:space="preserve">Omar Brown</t>
  </si>
  <si>
    <t xml:space="preserve">ORD-10665</t>
  </si>
  <si>
    <t xml:space="preserve">17-10-25</t>
  </si>
  <si>
    <t xml:space="preserve">ORD-10349</t>
  </si>
  <si>
    <t xml:space="preserve">14 Jun 2025</t>
  </si>
  <si>
    <t xml:space="preserve">ORD-10471</t>
  </si>
  <si>
    <t xml:space="preserve">04-08-25</t>
  </si>
  <si>
    <t xml:space="preserve">Hassan Ahmed</t>
  </si>
  <si>
    <t xml:space="preserve">ORD-10583</t>
  </si>
  <si>
    <t xml:space="preserve">2025-09-17</t>
  </si>
  <si>
    <t xml:space="preserve">ORD-10678</t>
  </si>
  <si>
    <t xml:space="preserve">23 Oct 2025</t>
  </si>
  <si>
    <t xml:space="preserve">Ayesha Young</t>
  </si>
  <si>
    <t xml:space="preserve">ORD-10355</t>
  </si>
  <si>
    <t xml:space="preserve">16-06-25</t>
  </si>
  <si>
    <t xml:space="preserve">ORD-10307</t>
  </si>
  <si>
    <t xml:space="preserve">05/25/2025</t>
  </si>
  <si>
    <t xml:space="preserve">Jack Malik</t>
  </si>
  <si>
    <t xml:space="preserve">ORD-10314</t>
  </si>
  <si>
    <t xml:space="preserve">28 May 2025</t>
  </si>
  <si>
    <t xml:space="preserve">ORD-10743</t>
  </si>
  <si>
    <t xml:space="preserve">14 Nov 2025</t>
  </si>
  <si>
    <t xml:space="preserve">Sara Malik</t>
  </si>
  <si>
    <t xml:space="preserve"> UAE </t>
  </si>
  <si>
    <t xml:space="preserve">ORD-10080</t>
  </si>
  <si>
    <t xml:space="preserve">02/09/2025</t>
  </si>
  <si>
    <t xml:space="preserve">ORD-10061</t>
  </si>
  <si>
    <t xml:space="preserve">ORD-10867</t>
  </si>
  <si>
    <t xml:space="preserve">19 Dec 2025</t>
  </si>
  <si>
    <t xml:space="preserve">ORD-10208</t>
  </si>
  <si>
    <t xml:space="preserve">ORD-10070</t>
  </si>
  <si>
    <t xml:space="preserve">02/03/2025</t>
  </si>
  <si>
    <t xml:space="preserve">Noah Brown</t>
  </si>
  <si>
    <t xml:space="preserve">ORD-10726</t>
  </si>
  <si>
    <t xml:space="preserve">10 Nov 2025</t>
  </si>
  <si>
    <t xml:space="preserve">Ben Smith</t>
  </si>
  <si>
    <t xml:space="preserve">ORD-10774</t>
  </si>
  <si>
    <t xml:space="preserve">24-11-25</t>
  </si>
  <si>
    <t xml:space="preserve">ORD-10082</t>
  </si>
  <si>
    <t xml:space="preserve">02/10/2025</t>
  </si>
  <si>
    <t xml:space="preserve">ORD-10095</t>
  </si>
  <si>
    <t xml:space="preserve">2025-02-17</t>
  </si>
  <si>
    <t xml:space="preserve">Noah Rana</t>
  </si>
  <si>
    <t xml:space="preserve">ORD-10311</t>
  </si>
  <si>
    <t xml:space="preserve">Emma Smith</t>
  </si>
  <si>
    <t xml:space="preserve">ORD-10461</t>
  </si>
  <si>
    <t xml:space="preserve">ORD-10750</t>
  </si>
  <si>
    <t xml:space="preserve">17 Nov 2025</t>
  </si>
  <si>
    <t xml:space="preserve">Nora Shah</t>
  </si>
  <si>
    <t xml:space="preserve">ORD-10171</t>
  </si>
  <si>
    <t xml:space="preserve">25-03-25</t>
  </si>
  <si>
    <t xml:space="preserve">Adam Ali</t>
  </si>
  <si>
    <t xml:space="preserve">ORD-10560</t>
  </si>
  <si>
    <t xml:space="preserve">ORD-10114</t>
  </si>
  <si>
    <t xml:space="preserve">28-02-25</t>
  </si>
  <si>
    <t xml:space="preserve">ORD-10892</t>
  </si>
  <si>
    <t xml:space="preserve">26 Dec 2025</t>
  </si>
  <si>
    <t xml:space="preserve">Ryan Davis</t>
  </si>
  <si>
    <t xml:space="preserve">ORD-10429</t>
  </si>
  <si>
    <t xml:space="preserve">12 Jul 2025</t>
  </si>
  <si>
    <t xml:space="preserve">ORD-10454</t>
  </si>
  <si>
    <t xml:space="preserve">07/26/2025</t>
  </si>
  <si>
    <t xml:space="preserve">Emma Khan</t>
  </si>
  <si>
    <t xml:space="preserve">ORD-10167</t>
  </si>
  <si>
    <t xml:space="preserve">Liam Rana</t>
  </si>
  <si>
    <t xml:space="preserve">ORD-10052</t>
  </si>
  <si>
    <t xml:space="preserve">23-01-25</t>
  </si>
  <si>
    <t xml:space="preserve">Ryan Khan</t>
  </si>
  <si>
    <t xml:space="preserve">ORD-10249</t>
  </si>
  <si>
    <t xml:space="preserve">ORD-10296</t>
  </si>
  <si>
    <t xml:space="preserve">20 May 2025</t>
  </si>
  <si>
    <t xml:space="preserve">ORD-10447</t>
  </si>
  <si>
    <t xml:space="preserve">ORD-10710</t>
  </si>
  <si>
    <t xml:space="preserve">2025-11-06</t>
  </si>
  <si>
    <t xml:space="preserve">ORD-10616</t>
  </si>
  <si>
    <t xml:space="preserve">2025-09-28</t>
  </si>
  <si>
    <t xml:space="preserve">ORD-10286</t>
  </si>
  <si>
    <t xml:space="preserve">Emma Brown</t>
  </si>
  <si>
    <t xml:space="preserve">ORD-10418</t>
  </si>
  <si>
    <t xml:space="preserve">08 Jul 2025</t>
  </si>
  <si>
    <t xml:space="preserve">ORD-10255</t>
  </si>
  <si>
    <t xml:space="preserve">05/07/2025</t>
  </si>
  <si>
    <t xml:space="preserve">ORD-10343</t>
  </si>
  <si>
    <t xml:space="preserve">06/12/2025</t>
  </si>
  <si>
    <t xml:space="preserve">Nora Brown</t>
  </si>
  <si>
    <t xml:space="preserve">ORD-10554</t>
  </si>
  <si>
    <t xml:space="preserve">04 Sep 2025</t>
  </si>
  <si>
    <t xml:space="preserve">ORD-10640</t>
  </si>
  <si>
    <t xml:space="preserve">07-10-25</t>
  </si>
  <si>
    <t xml:space="preserve">ORD-10049</t>
  </si>
  <si>
    <t xml:space="preserve">ORD-10142</t>
  </si>
  <si>
    <t xml:space="preserve">03/12/2025</t>
  </si>
  <si>
    <t xml:space="preserve">ORD-10650</t>
  </si>
  <si>
    <t xml:space="preserve">10/12/2025</t>
  </si>
  <si>
    <t xml:space="preserve">ORD-10704</t>
  </si>
  <si>
    <t xml:space="preserve">2025-11-03</t>
  </si>
  <si>
    <t xml:space="preserve">Jack Young</t>
  </si>
  <si>
    <t xml:space="preserve">ORD-10391</t>
  </si>
  <si>
    <t xml:space="preserve">06/27/2025</t>
  </si>
  <si>
    <t xml:space="preserve">ORD-10403</t>
  </si>
  <si>
    <t xml:space="preserve">02-07-25</t>
  </si>
  <si>
    <t xml:space="preserve">ORD-10529</t>
  </si>
  <si>
    <t xml:space="preserve">25-08-25</t>
  </si>
  <si>
    <t xml:space="preserve">Emma Young</t>
  </si>
  <si>
    <t xml:space="preserve">ORD-10003</t>
  </si>
  <si>
    <t xml:space="preserve">ORD-10109</t>
  </si>
  <si>
    <t xml:space="preserve">Omar Hussain</t>
  </si>
  <si>
    <t xml:space="preserve">ORD-10177</t>
  </si>
  <si>
    <t xml:space="preserve">ORD-10215</t>
  </si>
  <si>
    <t xml:space="preserve">2025-04-18</t>
  </si>
  <si>
    <t xml:space="preserve">ORD-10254</t>
  </si>
  <si>
    <t xml:space="preserve">2025-05-07</t>
  </si>
  <si>
    <t xml:space="preserve">ORD-10203</t>
  </si>
  <si>
    <t xml:space="preserve">11-04-25</t>
  </si>
  <si>
    <t xml:space="preserve">Jack Khan</t>
  </si>
  <si>
    <t xml:space="preserve">ORD-10886</t>
  </si>
  <si>
    <t xml:space="preserve">ORD-10356</t>
  </si>
  <si>
    <t xml:space="preserve">2025-06-16</t>
  </si>
  <si>
    <t xml:space="preserve">ORD-10702</t>
  </si>
  <si>
    <t xml:space="preserve">11/03/2025</t>
  </si>
  <si>
    <t xml:space="preserve">ORD-10839</t>
  </si>
  <si>
    <t xml:space="preserve">13 Dec 2025</t>
  </si>
  <si>
    <t xml:space="preserve">Adam Shah</t>
  </si>
  <si>
    <t xml:space="preserve">ORD-10759</t>
  </si>
  <si>
    <t xml:space="preserve">11/20/2025</t>
  </si>
  <si>
    <t xml:space="preserve">beauty</t>
  </si>
  <si>
    <t xml:space="preserve">ORD-10129</t>
  </si>
  <si>
    <t xml:space="preserve">2025-03-05</t>
  </si>
  <si>
    <t xml:space="preserve">ORD-10783</t>
  </si>
  <si>
    <t xml:space="preserve">26-11-25</t>
  </si>
  <si>
    <t xml:space="preserve">ORD-10605</t>
  </si>
  <si>
    <t xml:space="preserve">09/26/2025</t>
  </si>
  <si>
    <t xml:space="preserve">ORD-10701</t>
  </si>
  <si>
    <t xml:space="preserve">ORD-10662</t>
  </si>
  <si>
    <t xml:space="preserve">ORD-10893</t>
  </si>
  <si>
    <t xml:space="preserve">ORD-10185</t>
  </si>
  <si>
    <t xml:space="preserve">2025-04-01</t>
  </si>
  <si>
    <t xml:space="preserve">ORD-10173</t>
  </si>
  <si>
    <t xml:space="preserve">03/25/2025</t>
  </si>
  <si>
    <t xml:space="preserve">Mia Clark</t>
  </si>
  <si>
    <t xml:space="preserve">ORD-10265</t>
  </si>
  <si>
    <t xml:space="preserve">12-05-25</t>
  </si>
  <si>
    <t xml:space="preserve">Emma Shah</t>
  </si>
  <si>
    <t xml:space="preserve">ORD-10740</t>
  </si>
  <si>
    <t xml:space="preserve">ORD-10469</t>
  </si>
  <si>
    <t xml:space="preserve">02 Aug 2025</t>
  </si>
  <si>
    <t xml:space="preserve">Sam Shah</t>
  </si>
  <si>
    <t xml:space="preserve">ORD-10073</t>
  </si>
  <si>
    <t xml:space="preserve">03-02-25</t>
  </si>
  <si>
    <t xml:space="preserve">ORD-10273</t>
  </si>
  <si>
    <t xml:space="preserve">13-05-25</t>
  </si>
  <si>
    <t xml:space="preserve">Zara Clark</t>
  </si>
  <si>
    <t xml:space="preserve">ORD-10145</t>
  </si>
  <si>
    <t xml:space="preserve">2025-03-14</t>
  </si>
  <si>
    <t xml:space="preserve">ORD-10247</t>
  </si>
  <si>
    <t xml:space="preserve">Lucy Clark</t>
  </si>
  <si>
    <t xml:space="preserve">ORD-10612</t>
  </si>
  <si>
    <t xml:space="preserve">27-09-25</t>
  </si>
  <si>
    <t xml:space="preserve">ORD-10827</t>
  </si>
  <si>
    <t xml:space="preserve">2025-12-10</t>
  </si>
  <si>
    <t xml:space="preserve">ORD-10582</t>
  </si>
  <si>
    <t xml:space="preserve">16-09-25</t>
  </si>
  <si>
    <t xml:space="preserve">ORD-10629</t>
  </si>
  <si>
    <t xml:space="preserve">05-10-25</t>
  </si>
  <si>
    <t xml:space="preserve">ORD-10284</t>
  </si>
  <si>
    <t xml:space="preserve">05/17/2025</t>
  </si>
  <si>
    <t xml:space="preserve">ORD-10308</t>
  </si>
  <si>
    <t xml:space="preserve">25-05-25</t>
  </si>
  <si>
    <t xml:space="preserve">Hassan Hussain</t>
  </si>
  <si>
    <t xml:space="preserve">ORD-10496</t>
  </si>
  <si>
    <t xml:space="preserve">11-08-25</t>
  </si>
  <si>
    <t xml:space="preserve">ORD-10122</t>
  </si>
  <si>
    <t xml:space="preserve">Nora Malik</t>
  </si>
  <si>
    <t xml:space="preserve">ORD-10464</t>
  </si>
  <si>
    <t xml:space="preserve">08/01/2025</t>
  </si>
  <si>
    <t xml:space="preserve">ORD-10544</t>
  </si>
  <si>
    <t xml:space="preserve">2025-09-02</t>
  </si>
  <si>
    <t xml:space="preserve">Emma Wilson</t>
  </si>
  <si>
    <t xml:space="preserve">ORD-10363</t>
  </si>
  <si>
    <t xml:space="preserve">ORD-10601</t>
  </si>
  <si>
    <t xml:space="preserve">25-09-25</t>
  </si>
  <si>
    <t xml:space="preserve">ORD-10579</t>
  </si>
  <si>
    <t xml:space="preserve">16 Sep 2025</t>
  </si>
  <si>
    <t xml:space="preserve">ORD-10787</t>
  </si>
  <si>
    <t xml:space="preserve">27-11-25</t>
  </si>
  <si>
    <t xml:space="preserve">ORD-10667</t>
  </si>
  <si>
    <t xml:space="preserve">ORD-10551</t>
  </si>
  <si>
    <t xml:space="preserve">2025-09-04</t>
  </si>
  <si>
    <t xml:space="preserve">ORD-10697</t>
  </si>
  <si>
    <t xml:space="preserve">11/02/2025</t>
  </si>
  <si>
    <t xml:space="preserve">Hassan Brown</t>
  </si>
  <si>
    <t xml:space="preserve">ORD-10214</t>
  </si>
  <si>
    <t xml:space="preserve">04/18/2025</t>
  </si>
  <si>
    <t xml:space="preserve">Emma Ahmed</t>
  </si>
  <si>
    <t xml:space="preserve">ORD-10775</t>
  </si>
  <si>
    <t xml:space="preserve">11/25/2025</t>
  </si>
  <si>
    <t xml:space="preserve">ORD-10062</t>
  </si>
  <si>
    <t xml:space="preserve">01/28/2025</t>
  </si>
  <si>
    <t xml:space="preserve">Mia Young</t>
  </si>
  <si>
    <t xml:space="preserve">ORD-10897</t>
  </si>
  <si>
    <t xml:space="preserve">12/28/2025</t>
  </si>
  <si>
    <t xml:space="preserve">ORD-10884</t>
  </si>
  <si>
    <t xml:space="preserve">24 Dec 2025</t>
  </si>
  <si>
    <t xml:space="preserve">ORD-10449</t>
  </si>
  <si>
    <t xml:space="preserve">23-07-25</t>
  </si>
  <si>
    <t xml:space="preserve">ORD-10086</t>
  </si>
  <si>
    <t xml:space="preserve">11 Feb 2025</t>
  </si>
  <si>
    <t xml:space="preserve">UAE </t>
  </si>
  <si>
    <t xml:space="preserve">ORD-10804</t>
  </si>
  <si>
    <t xml:space="preserve">2025-12-05</t>
  </si>
  <si>
    <t xml:space="preserve">ORD-10316</t>
  </si>
  <si>
    <t xml:space="preserve">02 Jun 2025</t>
  </si>
  <si>
    <t xml:space="preserve">Hassan Wilson</t>
  </si>
  <si>
    <t xml:space="preserve">ORD-10528</t>
  </si>
  <si>
    <t xml:space="preserve">08/25/2025</t>
  </si>
  <si>
    <t xml:space="preserve">ORD-10860</t>
  </si>
  <si>
    <t xml:space="preserve">ORD-10793</t>
  </si>
  <si>
    <t xml:space="preserve">02-12-25</t>
  </si>
  <si>
    <t xml:space="preserve">ORD-10876</t>
  </si>
  <si>
    <t xml:space="preserve">22 Dec 2025</t>
  </si>
  <si>
    <t xml:space="preserve">Omar Smith</t>
  </si>
  <si>
    <t xml:space="preserve">ORD-10099</t>
  </si>
  <si>
    <t xml:space="preserve">19-02-25</t>
  </si>
  <si>
    <t xml:space="preserve">ORD-10294</t>
  </si>
  <si>
    <t xml:space="preserve">ORD-10553</t>
  </si>
  <si>
    <t xml:space="preserve">04-09-25</t>
  </si>
  <si>
    <t xml:space="preserve">ORD-10736</t>
  </si>
  <si>
    <t xml:space="preserve">2025-11-12</t>
  </si>
  <si>
    <t xml:space="preserve">ORD-10190</t>
  </si>
  <si>
    <t xml:space="preserve">04/04/2025</t>
  </si>
  <si>
    <t xml:space="preserve">ORD-10818</t>
  </si>
  <si>
    <t xml:space="preserve">2025-12-08</t>
  </si>
  <si>
    <t xml:space="preserve">ORD-10820</t>
  </si>
  <si>
    <t xml:space="preserve">08-12-25</t>
  </si>
  <si>
    <t xml:space="preserve">ORD-10288</t>
  </si>
  <si>
    <t xml:space="preserve">18-05-25</t>
  </si>
  <si>
    <t xml:space="preserve">Lucy Davis</t>
  </si>
  <si>
    <t xml:space="preserve">ORD-10176</t>
  </si>
  <si>
    <t xml:space="preserve">03/27/2025</t>
  </si>
  <si>
    <t xml:space="preserve">ORD-10354</t>
  </si>
  <si>
    <t xml:space="preserve">ORD-10013</t>
  </si>
  <si>
    <t xml:space="preserve">01/07/2025</t>
  </si>
  <si>
    <t xml:space="preserve">ORD-10006</t>
  </si>
  <si>
    <t xml:space="preserve">2025-01-02</t>
  </si>
  <si>
    <t xml:space="preserve">Adam Brown</t>
  </si>
  <si>
    <t xml:space="preserve">ORD-10170</t>
  </si>
  <si>
    <t xml:space="preserve">ORD-10696</t>
  </si>
  <si>
    <t xml:space="preserve">02-11-25</t>
  </si>
  <si>
    <t xml:space="preserve">ORD-10116</t>
  </si>
  <si>
    <t xml:space="preserve">2025-02-28</t>
  </si>
  <si>
    <t xml:space="preserve">ORD-10069</t>
  </si>
  <si>
    <t xml:space="preserve">2025-02-02</t>
  </si>
  <si>
    <t xml:space="preserve">ORD-10870</t>
  </si>
  <si>
    <t xml:space="preserve">ORD-10552</t>
  </si>
  <si>
    <t xml:space="preserve">Lucy Khan</t>
  </si>
  <si>
    <t xml:space="preserve">ORD-10594</t>
  </si>
  <si>
    <t xml:space="preserve">2025-09-23</t>
  </si>
  <si>
    <t xml:space="preserve">ORD-10196</t>
  </si>
  <si>
    <t xml:space="preserve">07-04-25</t>
  </si>
  <si>
    <t xml:space="preserve">ORD-10339</t>
  </si>
  <si>
    <t xml:space="preserve">06/11/2025</t>
  </si>
  <si>
    <t xml:space="preserve">ORD-10015</t>
  </si>
  <si>
    <t xml:space="preserve">08-01-25</t>
  </si>
  <si>
    <t xml:space="preserve">ORD-10509</t>
  </si>
  <si>
    <t xml:space="preserve">16 Aug 2025</t>
  </si>
  <si>
    <t xml:space="preserve">ORD-10859</t>
  </si>
  <si>
    <t xml:space="preserve">12/18/2025</t>
  </si>
  <si>
    <t xml:space="preserve">ORD-10093</t>
  </si>
  <si>
    <t xml:space="preserve">16-02-25</t>
  </si>
  <si>
    <t xml:space="preserve">ORD-10489</t>
  </si>
  <si>
    <t xml:space="preserve">08/10/2025</t>
  </si>
  <si>
    <t xml:space="preserve">ORD-10500</t>
  </si>
  <si>
    <t xml:space="preserve">08/13/2025</t>
  </si>
  <si>
    <t xml:space="preserve">ORD-10402</t>
  </si>
  <si>
    <t xml:space="preserve">ORD-10844</t>
  </si>
  <si>
    <t xml:space="preserve">ORD-10332</t>
  </si>
  <si>
    <t xml:space="preserve">2025-06-09</t>
  </si>
  <si>
    <t xml:space="preserve">ORD-10297</t>
  </si>
  <si>
    <t xml:space="preserve">21 May 2025</t>
  </si>
  <si>
    <t xml:space="preserve">ORD-10836</t>
  </si>
  <si>
    <t xml:space="preserve">ORD-10572</t>
  </si>
  <si>
    <t xml:space="preserve">2025-09-14</t>
  </si>
  <si>
    <t xml:space="preserve">ORD-10522</t>
  </si>
  <si>
    <t xml:space="preserve">08/22/2025</t>
  </si>
  <si>
    <t xml:space="preserve">ORD-10212</t>
  </si>
  <si>
    <t xml:space="preserve">18 Apr 2025</t>
  </si>
  <si>
    <t xml:space="preserve">ORD-10021</t>
  </si>
  <si>
    <t xml:space="preserve">10 Jan 2025</t>
  </si>
  <si>
    <t xml:space="preserve">ORD-10587</t>
  </si>
  <si>
    <t xml:space="preserve">ORD-10614</t>
  </si>
  <si>
    <t xml:space="preserve">2025-09-27</t>
  </si>
  <si>
    <t xml:space="preserve">ORD-10007</t>
  </si>
  <si>
    <t xml:space="preserve">ORD-10002</t>
  </si>
  <si>
    <t xml:space="preserve">ORD-10346</t>
  </si>
  <si>
    <t xml:space="preserve">06/13/2025</t>
  </si>
  <si>
    <t xml:space="preserve">Nora Smith</t>
  </si>
  <si>
    <t xml:space="preserve">ORD-10842</t>
  </si>
  <si>
    <t xml:space="preserve">2025-12-13</t>
  </si>
  <si>
    <t xml:space="preserve">ORD-10031</t>
  </si>
  <si>
    <t xml:space="preserve">ORD-10074</t>
  </si>
  <si>
    <t xml:space="preserve">ORD-10754</t>
  </si>
  <si>
    <t xml:space="preserve">ORD-10036</t>
  </si>
  <si>
    <t xml:space="preserve">2025-01-17</t>
  </si>
  <si>
    <t xml:space="preserve">ORD-10353</t>
  </si>
  <si>
    <t xml:space="preserve">2025-06-15</t>
  </si>
  <si>
    <t xml:space="preserve">ORD-10028</t>
  </si>
  <si>
    <t xml:space="preserve">ORD-10766</t>
  </si>
  <si>
    <t xml:space="preserve">ORD-10319</t>
  </si>
  <si>
    <t xml:space="preserve">03-06-25</t>
  </si>
  <si>
    <t xml:space="preserve">ORD-10038</t>
  </si>
  <si>
    <t xml:space="preserve">Emma Taylor</t>
  </si>
  <si>
    <t xml:space="preserve">ORD-10375</t>
  </si>
  <si>
    <t xml:space="preserve">ORD-10699</t>
  </si>
  <si>
    <t xml:space="preserve">ORD-10495</t>
  </si>
  <si>
    <t xml:space="preserve">ORD-10113</t>
  </si>
  <si>
    <t xml:space="preserve">26 Feb 2025</t>
  </si>
  <si>
    <t xml:space="preserve">ORD-10606</t>
  </si>
  <si>
    <t xml:space="preserve">26 Sep 2025</t>
  </si>
  <si>
    <t xml:space="preserve">ORD-10490</t>
  </si>
  <si>
    <t xml:space="preserve">10-08-25</t>
  </si>
  <si>
    <t xml:space="preserve">ORD-10797</t>
  </si>
  <si>
    <t xml:space="preserve">03-12-25</t>
  </si>
  <si>
    <t xml:space="preserve">ORD-10188</t>
  </si>
  <si>
    <t xml:space="preserve">02 Apr 2025</t>
  </si>
  <si>
    <t xml:space="preserve">ORD-10260</t>
  </si>
  <si>
    <t xml:space="preserve">10 May 2025</t>
  </si>
  <si>
    <t xml:space="preserve">ORD-10178</t>
  </si>
  <si>
    <t xml:space="preserve">uae</t>
  </si>
  <si>
    <t xml:space="preserve">ORD-10222</t>
  </si>
  <si>
    <t xml:space="preserve">21-04-25</t>
  </si>
  <si>
    <t xml:space="preserve">ORD-10767</t>
  </si>
  <si>
    <t xml:space="preserve">ORD-10358</t>
  </si>
  <si>
    <t xml:space="preserve">ORD-10586</t>
  </si>
  <si>
    <t xml:space="preserve">ORD-10051</t>
  </si>
  <si>
    <t xml:space="preserve">23 Jan 2025</t>
  </si>
  <si>
    <t xml:space="preserve">ORD-10281</t>
  </si>
  <si>
    <t xml:space="preserve">ORD-10268</t>
  </si>
  <si>
    <t xml:space="preserve">ORD-10655</t>
  </si>
  <si>
    <t xml:space="preserve">ORD-10638</t>
  </si>
  <si>
    <t xml:space="preserve">Liam Khan</t>
  </si>
  <si>
    <t xml:space="preserve">ORD-10030</t>
  </si>
  <si>
    <t xml:space="preserve">ORD-10773</t>
  </si>
  <si>
    <t xml:space="preserve">11/24/2025</t>
  </si>
  <si>
    <t xml:space="preserve">ORD-10567</t>
  </si>
  <si>
    <t xml:space="preserve">ORD-10165</t>
  </si>
  <si>
    <t xml:space="preserve">03/24/2025</t>
  </si>
  <si>
    <t xml:space="preserve">ORD-10269</t>
  </si>
  <si>
    <t xml:space="preserve">ORD-10838</t>
  </si>
  <si>
    <t xml:space="preserve">ELECTRONICS</t>
  </si>
  <si>
    <t xml:space="preserve">ORD-10379</t>
  </si>
  <si>
    <t xml:space="preserve">ORD-10022</t>
  </si>
  <si>
    <t xml:space="preserve">11 Jan 2025</t>
  </si>
  <si>
    <t xml:space="preserve">ORD-10267</t>
  </si>
  <si>
    <t xml:space="preserve">ORD-10637</t>
  </si>
  <si>
    <t xml:space="preserve">07 Oct 2025</t>
  </si>
  <si>
    <t xml:space="preserve">ORD-10043</t>
  </si>
  <si>
    <t xml:space="preserve">01/20/2025</t>
  </si>
  <si>
    <t xml:space="preserve">ORD-10492</t>
  </si>
  <si>
    <t xml:space="preserve">10 Aug 2025</t>
  </si>
  <si>
    <t xml:space="preserve">ORD-10688</t>
  </si>
  <si>
    <t xml:space="preserve">2025-10-25</t>
  </si>
  <si>
    <t xml:space="preserve">ORD-10085</t>
  </si>
  <si>
    <t xml:space="preserve">10 Feb 2025</t>
  </si>
  <si>
    <t xml:space="preserve">ORD-10119</t>
  </si>
  <si>
    <t xml:space="preserve">03/03/2025</t>
  </si>
  <si>
    <t xml:space="preserve">ORD-10084</t>
  </si>
  <si>
    <t xml:space="preserve">ORD-10600</t>
  </si>
  <si>
    <t xml:space="preserve">ORD-10045</t>
  </si>
  <si>
    <t xml:space="preserve">ORD-10535</t>
  </si>
  <si>
    <t xml:space="preserve">08/27/2025</t>
  </si>
  <si>
    <t xml:space="preserve">ORD-10103</t>
  </si>
  <si>
    <t xml:space="preserve">2025-02-21</t>
  </si>
  <si>
    <t xml:space="preserve">UK </t>
  </si>
  <si>
    <t xml:space="preserve">ORD-10692</t>
  </si>
  <si>
    <t xml:space="preserve">ORD-10411</t>
  </si>
  <si>
    <t xml:space="preserve">ORD-10812</t>
  </si>
  <si>
    <t xml:space="preserve">2025-12-07</t>
  </si>
  <si>
    <t xml:space="preserve">ORD-10352</t>
  </si>
  <si>
    <t xml:space="preserve">15-06-25</t>
  </si>
  <si>
    <t xml:space="preserve">ORD-10559</t>
  </si>
  <si>
    <t xml:space="preserve">06-09-25</t>
  </si>
  <si>
    <t xml:space="preserve">ORD-10684</t>
  </si>
  <si>
    <t xml:space="preserve">2025-10-24</t>
  </si>
  <si>
    <t xml:space="preserve">ORD-10742</t>
  </si>
  <si>
    <t xml:space="preserve">11/14/2025</t>
  </si>
  <si>
    <t xml:space="preserve">ORD-10633</t>
  </si>
  <si>
    <t xml:space="preserve">2025-10-06</t>
  </si>
  <si>
    <t xml:space="preserve">ORD-10140</t>
  </si>
  <si>
    <t xml:space="preserve">11-03-25</t>
  </si>
  <si>
    <t xml:space="preserve">ORD-10152</t>
  </si>
  <si>
    <t xml:space="preserve">03/16/2025</t>
  </si>
  <si>
    <t xml:space="preserve">ORD-10580</t>
  </si>
  <si>
    <t xml:space="preserve">ORD-10607</t>
  </si>
  <si>
    <t xml:space="preserve">ORD-10303</t>
  </si>
  <si>
    <t xml:space="preserve">ORD-10659</t>
  </si>
  <si>
    <t xml:space="preserve">ORD-10040</t>
  </si>
  <si>
    <t xml:space="preserve">18 Jan 2025</t>
  </si>
  <si>
    <t xml:space="preserve">ORD-10850</t>
  </si>
  <si>
    <t xml:space="preserve">16 Dec 2025</t>
  </si>
  <si>
    <t xml:space="preserve">ORD-10407</t>
  </si>
  <si>
    <t xml:space="preserve">03 Jul 2025</t>
  </si>
  <si>
    <t xml:space="preserve">ORD-10321</t>
  </si>
  <si>
    <t xml:space="preserve">06/03/2025</t>
  </si>
  <si>
    <t xml:space="preserve">ORD-10597</t>
  </si>
  <si>
    <t xml:space="preserve">ORD-10592</t>
  </si>
  <si>
    <t xml:space="preserve">09/22/2025</t>
  </si>
  <si>
    <t xml:space="preserve">ORD-10450</t>
  </si>
  <si>
    <t xml:space="preserve">2025-07-24</t>
  </si>
  <si>
    <t xml:space="preserve">ORD-10131</t>
  </si>
  <si>
    <t xml:space="preserve">06 Mar 2025</t>
  </si>
  <si>
    <t xml:space="preserve">ORD-10431</t>
  </si>
  <si>
    <t xml:space="preserve">ORD-10193</t>
  </si>
  <si>
    <t xml:space="preserve">06 Apr 2025</t>
  </si>
  <si>
    <t xml:space="preserve">ORD-10242</t>
  </si>
  <si>
    <t xml:space="preserve">2025-05-01</t>
  </si>
  <si>
    <t xml:space="preserve">ORD-10841</t>
  </si>
  <si>
    <t xml:space="preserve">12/13/2025</t>
  </si>
  <si>
    <t xml:space="preserve">ORD-10563</t>
  </si>
  <si>
    <t xml:space="preserve">08 Sep 2025</t>
  </si>
  <si>
    <t xml:space="preserve">ORD-10538</t>
  </si>
  <si>
    <t xml:space="preserve">28-08-25</t>
  </si>
  <si>
    <t xml:space="preserve">Noah Khan</t>
  </si>
  <si>
    <t xml:space="preserve">ORD-10779</t>
  </si>
  <si>
    <t xml:space="preserve">26 Nov 2025</t>
  </si>
  <si>
    <t xml:space="preserve">ORD-10359</t>
  </si>
  <si>
    <t xml:space="preserve">2025-06-17</t>
  </si>
  <si>
    <t xml:space="preserve">ORD-10888</t>
  </si>
  <si>
    <t xml:space="preserve">25 Dec 2025</t>
  </si>
  <si>
    <t xml:space="preserve">ORD-10613</t>
  </si>
  <si>
    <t xml:space="preserve">27 Sep 2025</t>
  </si>
  <si>
    <t xml:space="preserve">ORD-10412</t>
  </si>
  <si>
    <t xml:space="preserve">05 Jul 2025</t>
  </si>
  <si>
    <t xml:space="preserve">ORD-10683</t>
  </si>
  <si>
    <t xml:space="preserve">ORD-10825</t>
  </si>
  <si>
    <t xml:space="preserve">ORD-10258</t>
  </si>
  <si>
    <t xml:space="preserve">09-05-25</t>
  </si>
  <si>
    <t xml:space="preserve">ORD-10643</t>
  </si>
  <si>
    <t xml:space="preserve">2025-10-09</t>
  </si>
  <si>
    <t xml:space="preserve">ORD-10872</t>
  </si>
  <si>
    <t xml:space="preserve">20 Dec 2025</t>
  </si>
  <si>
    <t xml:space="preserve">ORD-10221</t>
  </si>
  <si>
    <t xml:space="preserve">ORD-10547</t>
  </si>
  <si>
    <t xml:space="preserve">09/03/2025</t>
  </si>
  <si>
    <t xml:space="preserve">ORD-10848</t>
  </si>
  <si>
    <t xml:space="preserve">2025-12-16</t>
  </si>
  <si>
    <t xml:space="preserve">ORD-10679</t>
  </si>
  <si>
    <t xml:space="preserve">Sana Ali</t>
  </si>
  <si>
    <t xml:space="preserve">ORD-10386</t>
  </si>
  <si>
    <t xml:space="preserve">26-06-25</t>
  </si>
  <si>
    <t xml:space="preserve">ORD-10019</t>
  </si>
  <si>
    <t xml:space="preserve">09-01-25</t>
  </si>
  <si>
    <t xml:space="preserve">ORD-10072</t>
  </si>
  <si>
    <t xml:space="preserve">ORD-10141</t>
  </si>
  <si>
    <t xml:space="preserve">ORD-10383</t>
  </si>
  <si>
    <t xml:space="preserve">23 Jun 2025</t>
  </si>
  <si>
    <t xml:space="preserve">ORD-10194</t>
  </si>
  <si>
    <t xml:space="preserve">04/06/2025</t>
  </si>
  <si>
    <t xml:space="preserve">ORD-10675</t>
  </si>
  <si>
    <t xml:space="preserve">2025-10-22</t>
  </si>
  <si>
    <t xml:space="preserve">ORD-10424</t>
  </si>
  <si>
    <t xml:space="preserve">11-07-25</t>
  </si>
  <si>
    <t xml:space="preserve">ORD-10017</t>
  </si>
  <si>
    <t xml:space="preserve">ORD-10851</t>
  </si>
  <si>
    <t xml:space="preserve">Omar Ali</t>
  </si>
  <si>
    <t xml:space="preserve">ORD-10250</t>
  </si>
  <si>
    <t xml:space="preserve">04-05-25</t>
  </si>
  <si>
    <t xml:space="preserve">ORD-10347</t>
  </si>
  <si>
    <t xml:space="preserve">13 Jun 2025</t>
  </si>
  <si>
    <t xml:space="preserve">ORD-10741</t>
  </si>
  <si>
    <t xml:space="preserve">2025-11-14</t>
  </si>
  <si>
    <t xml:space="preserve">ORD-10027</t>
  </si>
  <si>
    <t xml:space="preserve">01/14/2025</t>
  </si>
  <si>
    <t xml:space="preserve">ORD-10138</t>
  </si>
  <si>
    <t xml:space="preserve">2025-03-09</t>
  </si>
  <si>
    <t xml:space="preserve">ORD-10623</t>
  </si>
  <si>
    <t xml:space="preserve">10/04/2025</t>
  </si>
  <si>
    <t xml:space="preserve">ORD-10300</t>
  </si>
  <si>
    <t xml:space="preserve">ORD-10309</t>
  </si>
  <si>
    <t xml:space="preserve">ORD-10764</t>
  </si>
  <si>
    <t xml:space="preserve">ORD-10558</t>
  </si>
  <si>
    <t xml:space="preserve">ORD-10100</t>
  </si>
  <si>
    <t xml:space="preserve">2025-02-19</t>
  </si>
  <si>
    <t xml:space="preserve">ORD-10588</t>
  </si>
  <si>
    <t xml:space="preserve">ORD-10664</t>
  </si>
  <si>
    <t xml:space="preserve">2025-10-17</t>
  </si>
  <si>
    <t xml:space="preserve">ORD-10891</t>
  </si>
  <si>
    <t xml:space="preserve">12/26/2025</t>
  </si>
  <si>
    <t xml:space="preserve">ORD-10516</t>
  </si>
  <si>
    <t xml:space="preserve">ORD-10132</t>
  </si>
  <si>
    <t xml:space="preserve">2025-03-08</t>
  </si>
  <si>
    <t xml:space="preserve">ORD-10442</t>
  </si>
  <si>
    <t xml:space="preserve">ORD-10150</t>
  </si>
  <si>
    <t xml:space="preserve">15 Mar 2025</t>
  </si>
  <si>
    <t xml:space="preserve">ORD-10397</t>
  </si>
  <si>
    <t xml:space="preserve">01-07-25</t>
  </si>
  <si>
    <t xml:space="preserve">ORD-10096</t>
  </si>
  <si>
    <t xml:space="preserve">17 Feb 2025</t>
  </si>
  <si>
    <t xml:space="preserve">ORD-10390</t>
  </si>
  <si>
    <t xml:space="preserve">27 Jun 2025</t>
  </si>
  <si>
    <t xml:space="preserve">ORD-10577</t>
  </si>
  <si>
    <t xml:space="preserve">09/16/2025</t>
  </si>
  <si>
    <t xml:space="preserve">ORD-10025</t>
  </si>
  <si>
    <t xml:space="preserve">01/13/2025</t>
  </si>
  <si>
    <t xml:space="preserve">ORD-10537</t>
  </si>
  <si>
    <t xml:space="preserve">ORD-10333</t>
  </si>
  <si>
    <t xml:space="preserve">10-06-25</t>
  </si>
  <si>
    <t xml:space="preserve">ORD-10846</t>
  </si>
  <si>
    <t xml:space="preserve">16-12-25</t>
  </si>
  <si>
    <t xml:space="preserve">ORD-10299</t>
  </si>
  <si>
    <t xml:space="preserve">05/23/2025</t>
  </si>
  <si>
    <t xml:space="preserve">ORD-10276</t>
  </si>
  <si>
    <t xml:space="preserve">14 May 2025</t>
  </si>
  <si>
    <t xml:space="preserve">ORD-10042</t>
  </si>
  <si>
    <t xml:space="preserve">ORD-10571</t>
  </si>
  <si>
    <t xml:space="preserve">11 Sep 2025</t>
  </si>
  <si>
    <t xml:space="preserve">ORD-10796</t>
  </si>
  <si>
    <t xml:space="preserve">02 Dec 2025</t>
  </si>
  <si>
    <t xml:space="preserve">ORD-10224</t>
  </si>
  <si>
    <t xml:space="preserve">ORD-10862</t>
  </si>
  <si>
    <t xml:space="preserve">2025-12-19</t>
  </si>
  <si>
    <t xml:space="preserve">ORD-10785</t>
  </si>
  <si>
    <t xml:space="preserve">Omar Rana</t>
  </si>
  <si>
    <t xml:space="preserve">ORD-10546</t>
  </si>
  <si>
    <t xml:space="preserve">ORD-10898</t>
  </si>
  <si>
    <t xml:space="preserve">ORD-10864</t>
  </si>
  <si>
    <t xml:space="preserve">ORD-10485</t>
  </si>
  <si>
    <t xml:space="preserve">ORD-10734</t>
  </si>
  <si>
    <t xml:space="preserve">ORD-10816</t>
  </si>
  <si>
    <t xml:space="preserve">ORD-10364</t>
  </si>
  <si>
    <t xml:space="preserve">Omar Butt</t>
  </si>
  <si>
    <t xml:space="preserve">ORD-10380</t>
  </si>
  <si>
    <t xml:space="preserve">2025-06-23</t>
  </si>
  <si>
    <t xml:space="preserve">ORD-10480</t>
  </si>
  <si>
    <t xml:space="preserve">ORD-10393</t>
  </si>
  <si>
    <t xml:space="preserve">06/28/2025</t>
  </si>
  <si>
    <t xml:space="preserve">ORD-10651</t>
  </si>
  <si>
    <t xml:space="preserve">ORD-10455</t>
  </si>
  <si>
    <t xml:space="preserve">ORD-10029</t>
  </si>
  <si>
    <t xml:space="preserve">ORD-10175</t>
  </si>
  <si>
    <t xml:space="preserve">03/26/2025</t>
  </si>
  <si>
    <t xml:space="preserve">ORD-10622</t>
  </si>
  <si>
    <t xml:space="preserve">03 Oct 2025</t>
  </si>
  <si>
    <t xml:space="preserve">ORD-10878</t>
  </si>
  <si>
    <t xml:space="preserve">Hassan Smith</t>
  </si>
  <si>
    <t xml:space="preserve">ORD-10890</t>
  </si>
  <si>
    <t xml:space="preserve">Liam Young</t>
  </si>
  <si>
    <t xml:space="preserve">ORD-10110</t>
  </si>
  <si>
    <t xml:space="preserve">25-02-25</t>
  </si>
  <si>
    <t xml:space="preserve">ORD-10324</t>
  </si>
  <si>
    <t xml:space="preserve">06/05/2025</t>
  </si>
  <si>
    <t xml:space="preserve">ORD-10852</t>
  </si>
  <si>
    <t xml:space="preserve">17-12-25</t>
  </si>
  <si>
    <t xml:space="preserve">ORD-10331</t>
  </si>
  <si>
    <t xml:space="preserve">ORD-10857</t>
  </si>
  <si>
    <t xml:space="preserve">Jack Hussain</t>
  </si>
  <si>
    <t xml:space="preserve">ORD-10716</t>
  </si>
  <si>
    <t xml:space="preserve">2025-11-08</t>
  </si>
  <si>
    <t xml:space="preserve">ORD-10828</t>
  </si>
  <si>
    <t xml:space="preserve">10 Dec 2025</t>
  </si>
  <si>
    <t xml:space="preserve">ORD-10786</t>
  </si>
  <si>
    <t xml:space="preserve">ORD-10306</t>
  </si>
  <si>
    <t xml:space="preserve">ORD-10315</t>
  </si>
  <si>
    <t xml:space="preserve">01 Jun 2025</t>
  </si>
  <si>
    <t xml:space="preserve">ORD-10805</t>
  </si>
  <si>
    <t xml:space="preserve">05 Dec 2025</t>
  </si>
  <si>
    <t xml:space="preserve">ORD-10336</t>
  </si>
  <si>
    <t xml:space="preserve">ORD-10826</t>
  </si>
  <si>
    <t xml:space="preserve">10-12-25</t>
  </si>
  <si>
    <t xml:space="preserve">ORD-10673</t>
  </si>
  <si>
    <t xml:space="preserve">10/22/2025</t>
  </si>
  <si>
    <t xml:space="preserve">ORD-10459</t>
  </si>
  <si>
    <t xml:space="preserve">ORD-10543</t>
  </si>
  <si>
    <t xml:space="preserve">02-09-25</t>
  </si>
  <si>
    <t xml:space="preserve">ORD-10425</t>
  </si>
  <si>
    <t xml:space="preserve">ORD-10687</t>
  </si>
  <si>
    <t xml:space="preserve">ORD-10240</t>
  </si>
  <si>
    <t xml:space="preserve">ORD-10102</t>
  </si>
  <si>
    <t xml:space="preserve">02/20/2025</t>
  </si>
  <si>
    <t xml:space="preserve">ORD-10280</t>
  </si>
  <si>
    <t xml:space="preserve">16-05-25</t>
  </si>
  <si>
    <t xml:space="preserve">ORD-10218</t>
  </si>
  <si>
    <t xml:space="preserve">2025-04-20</t>
  </si>
  <si>
    <t xml:space="preserve">ORD-10285</t>
  </si>
  <si>
    <t xml:space="preserve">17 May 2025</t>
  </si>
  <si>
    <t xml:space="preserve">ORD-10562</t>
  </si>
  <si>
    <t xml:space="preserve">08-09-25</t>
  </si>
  <si>
    <t xml:space="preserve">ORD-10059</t>
  </si>
  <si>
    <t xml:space="preserve">01/27/2025</t>
  </si>
  <si>
    <t xml:space="preserve">ORD-10328</t>
  </si>
  <si>
    <t xml:space="preserve">07-06-25</t>
  </si>
  <si>
    <t xml:space="preserve">ORD-10237</t>
  </si>
  <si>
    <t xml:space="preserve">28 Apr 2025</t>
  </si>
  <si>
    <t xml:space="preserve">ORD-10457</t>
  </si>
  <si>
    <t xml:space="preserve">ORD-10536</t>
  </si>
  <si>
    <t xml:space="preserve">27-08-25</t>
  </si>
  <si>
    <t xml:space="preserve">ORD-10738</t>
  </si>
  <si>
    <t xml:space="preserve">2025-11-13</t>
  </si>
  <si>
    <t xml:space="preserve">ORD-10479</t>
  </si>
  <si>
    <t xml:space="preserve">ORD-10809</t>
  </si>
  <si>
    <t xml:space="preserve">2025-12-06</t>
  </si>
  <si>
    <t xml:space="preserve">ORD-10882</t>
  </si>
  <si>
    <t xml:space="preserve">ORD-10012</t>
  </si>
  <si>
    <t xml:space="preserve">2025-01-07</t>
  </si>
  <si>
    <t xml:space="preserve">Omar Shah</t>
  </si>
  <si>
    <t xml:space="preserve">ORD-10615</t>
  </si>
  <si>
    <t xml:space="preserve">ORD-10304</t>
  </si>
  <si>
    <t xml:space="preserve">05/24/2025</t>
  </si>
  <si>
    <t xml:space="preserve">ORD-10192</t>
  </si>
  <si>
    <t xml:space="preserve">ORD-10365</t>
  </si>
  <si>
    <t xml:space="preserve">18-06-25</t>
  </si>
  <si>
    <t xml:space="preserve">ORD-10498</t>
  </si>
  <si>
    <t xml:space="preserve">2025-08-12</t>
  </si>
  <si>
    <t xml:space="preserve">ORD-10493</t>
  </si>
  <si>
    <t xml:space="preserve">ORD-10108</t>
  </si>
  <si>
    <t xml:space="preserve">ORD-10401</t>
  </si>
  <si>
    <t xml:space="preserve">ORD-10646</t>
  </si>
  <si>
    <t xml:space="preserve">11 Oct 2025</t>
  </si>
  <si>
    <t xml:space="preserve">ORD-10155</t>
  </si>
  <si>
    <t xml:space="preserve">17 Mar 2025</t>
  </si>
  <si>
    <t xml:space="preserve">ORD-10507</t>
  </si>
  <si>
    <t xml:space="preserve">08/15/2025</t>
  </si>
  <si>
    <t xml:space="preserve">Ella Davis</t>
  </si>
  <si>
    <t xml:space="preserve">ORD-10243</t>
  </si>
  <si>
    <t xml:space="preserve">01 May 2025</t>
  </si>
  <si>
    <t xml:space="preserve">ORD-10191</t>
  </si>
  <si>
    <t xml:space="preserve">2025-04-05</t>
  </si>
  <si>
    <t xml:space="preserve">ORD-10505</t>
  </si>
  <si>
    <t xml:space="preserve">14-08-25</t>
  </si>
  <si>
    <t xml:space="preserve">Ella Ali</t>
  </si>
  <si>
    <t xml:space="preserve">ORD-10789</t>
  </si>
  <si>
    <t xml:space="preserve">Sana Smith</t>
  </si>
  <si>
    <t xml:space="preserve">ORD-10219</t>
  </si>
  <si>
    <t xml:space="preserve">ORD-10777</t>
  </si>
  <si>
    <t xml:space="preserve">Ali Ahmed</t>
  </si>
  <si>
    <t xml:space="preserve"> Australia </t>
  </si>
  <si>
    <t xml:space="preserve">ORD-10854</t>
  </si>
  <si>
    <t xml:space="preserve">ORD-10317</t>
  </si>
  <si>
    <t xml:space="preserve">02-06-25</t>
  </si>
  <si>
    <t xml:space="preserve">Ali Butt</t>
  </si>
  <si>
    <t xml:space="preserve">ORD-10414</t>
  </si>
  <si>
    <t xml:space="preserve">06-07-25</t>
  </si>
  <si>
    <t xml:space="preserve">ORD-10202</t>
  </si>
  <si>
    <t xml:space="preserve">10-04-25</t>
  </si>
  <si>
    <t xml:space="preserve">ORD-10690</t>
  </si>
  <si>
    <t xml:space="preserve">ORD-10744</t>
  </si>
  <si>
    <t xml:space="preserve">Omar Taylor</t>
  </si>
  <si>
    <t xml:space="preserve">ORD-10421</t>
  </si>
  <si>
    <t xml:space="preserve">2025-07-09</t>
  </si>
  <si>
    <t xml:space="preserve">Zara Young</t>
  </si>
  <si>
    <t xml:space="preserve">ORD-10780</t>
  </si>
  <si>
    <t xml:space="preserve">ORD-10399</t>
  </si>
  <si>
    <t xml:space="preserve">ORD-10608</t>
  </si>
  <si>
    <t xml:space="preserve">ORD-10416</t>
  </si>
  <si>
    <t xml:space="preserve">07/07/2025</t>
  </si>
  <si>
    <t xml:space="preserve">ORD-10760</t>
  </si>
  <si>
    <t xml:space="preserve">20 Nov 2025</t>
  </si>
  <si>
    <t xml:space="preserve">ORD-10880</t>
  </si>
  <si>
    <t xml:space="preserve">12/23/2025</t>
  </si>
  <si>
    <t xml:space="preserve">ORD-10703</t>
  </si>
  <si>
    <t xml:space="preserve">ORD-10087</t>
  </si>
  <si>
    <t xml:space="preserve">12-02-25</t>
  </si>
  <si>
    <t xml:space="preserve">ORD-10272</t>
  </si>
  <si>
    <t xml:space="preserve">05/13/2025</t>
  </si>
  <si>
    <t xml:space="preserve">ORD-10417</t>
  </si>
  <si>
    <t xml:space="preserve">ORD-10282</t>
  </si>
  <si>
    <t xml:space="preserve">ORD-10808</t>
  </si>
  <si>
    <t xml:space="preserve">06 Dec 2025</t>
  </si>
  <si>
    <t xml:space="preserve">ORD-10708</t>
  </si>
  <si>
    <t xml:space="preserve">05 Nov 2025</t>
  </si>
  <si>
    <t xml:space="preserve">ORD-10182</t>
  </si>
  <si>
    <t xml:space="preserve">ORD-10887</t>
  </si>
  <si>
    <t xml:space="preserve">ORD-10366</t>
  </si>
  <si>
    <t xml:space="preserve">ORD-10620</t>
  </si>
  <si>
    <t xml:space="preserve">02 Oct 2025</t>
  </si>
  <si>
    <t xml:space="preserve">ORD-10381</t>
  </si>
  <si>
    <t xml:space="preserve">ORD-10263</t>
  </si>
  <si>
    <t xml:space="preserve">ORD-10428</t>
  </si>
  <si>
    <t xml:space="preserve">ORD-10075</t>
  </si>
  <si>
    <t xml:space="preserve">2025-02-04</t>
  </si>
  <si>
    <t xml:space="preserve">ORD-10539</t>
  </si>
  <si>
    <t xml:space="preserve">ORD-10312</t>
  </si>
  <si>
    <t xml:space="preserve">ORD-10895</t>
  </si>
  <si>
    <t xml:space="preserve">2025-12-27</t>
  </si>
  <si>
    <t xml:space="preserve">ORD-10398</t>
  </si>
  <si>
    <t xml:space="preserve">ORD-10863</t>
  </si>
  <si>
    <t xml:space="preserve">ORD-10091</t>
  </si>
  <si>
    <t xml:space="preserve">15-02-25</t>
  </si>
  <si>
    <t xml:space="preserve">ORD-10117</t>
  </si>
  <si>
    <t xml:space="preserve">ORD-10873</t>
  </si>
  <si>
    <t xml:space="preserve">2025-12-20</t>
  </si>
  <si>
    <t xml:space="preserve">ORD-10078</t>
  </si>
  <si>
    <t xml:space="preserve">06 Feb 2025</t>
  </si>
  <si>
    <t xml:space="preserve">ORD-10468</t>
  </si>
  <si>
    <t xml:space="preserve">ORD-10671</t>
  </si>
  <si>
    <t xml:space="preserve">22-10-25</t>
  </si>
  <si>
    <t xml:space="preserve">ORD-10128</t>
  </si>
  <si>
    <t xml:space="preserve">2025-03-04</t>
  </si>
  <si>
    <t xml:space="preserve">ORD-10739</t>
  </si>
  <si>
    <t xml:space="preserve">ORD-10385</t>
  </si>
  <si>
    <t xml:space="preserve">2025-06-25</t>
  </si>
  <si>
    <t xml:space="preserve">ORD-10361</t>
  </si>
  <si>
    <t xml:space="preserve">06/17/2025</t>
  </si>
  <si>
    <t xml:space="preserve">ORD-10350</t>
  </si>
  <si>
    <t xml:space="preserve">ORD-10225</t>
  </si>
  <si>
    <t xml:space="preserve">ORD-10367</t>
  </si>
  <si>
    <t xml:space="preserve">ORD-10104</t>
  </si>
  <si>
    <t xml:space="preserve">ORD-10092</t>
  </si>
  <si>
    <t xml:space="preserve">2025-02-16</t>
  </si>
  <si>
    <t xml:space="preserve">ORD-10071</t>
  </si>
  <si>
    <t xml:space="preserve">ORD-10718</t>
  </si>
  <si>
    <t xml:space="preserve">09-11-25</t>
  </si>
  <si>
    <t xml:space="preserve">Jack Brown</t>
  </si>
  <si>
    <t xml:space="preserve">ORD-10217</t>
  </si>
  <si>
    <t xml:space="preserve">04/19/2025</t>
  </si>
  <si>
    <t xml:space="preserve">ORD-10105</t>
  </si>
  <si>
    <t xml:space="preserve">ORD-10894</t>
  </si>
  <si>
    <t xml:space="preserve">ORD-10748</t>
  </si>
  <si>
    <t xml:space="preserve">15-11-25</t>
  </si>
  <si>
    <t xml:space="preserve">ORD-10866</t>
  </si>
  <si>
    <t xml:space="preserve">ORD-10728</t>
  </si>
  <si>
    <t xml:space="preserve">2025-11-11</t>
  </si>
  <si>
    <t xml:space="preserve">ORD-10621</t>
  </si>
  <si>
    <t xml:space="preserve">10/02/2025</t>
  </si>
  <si>
    <t xml:space="preserve">ORD-10832</t>
  </si>
  <si>
    <t xml:space="preserve">12/11/2025</t>
  </si>
  <si>
    <t xml:space="preserve">ORD-10351</t>
  </si>
  <si>
    <t xml:space="preserve">06/14/2025</t>
  </si>
  <si>
    <t xml:space="preserve">ORD-10885</t>
  </si>
  <si>
    <t xml:space="preserve">ORD-10483</t>
  </si>
  <si>
    <t xml:space="preserve">ORD-10413</t>
  </si>
  <si>
    <t xml:space="preserve">2025-07-05</t>
  </si>
  <si>
    <t xml:space="preserve">ORD-10550</t>
  </si>
  <si>
    <t xml:space="preserve">03 Sep 2025</t>
  </si>
  <si>
    <t xml:space="preserve">ORD-10725</t>
  </si>
  <si>
    <t xml:space="preserve">2025-11-10</t>
  </si>
  <si>
    <t xml:space="preserve">ORD-10635</t>
  </si>
  <si>
    <t xml:space="preserve">ORD-10810</t>
  </si>
  <si>
    <t xml:space="preserve">ORD-10510</t>
  </si>
  <si>
    <t xml:space="preserve">2025-08-17</t>
  </si>
  <si>
    <t xml:space="preserve">ORD-10837</t>
  </si>
  <si>
    <t xml:space="preserve">2025-12-12</t>
  </si>
  <si>
    <t xml:space="preserve">ORD-10858</t>
  </si>
  <si>
    <t xml:space="preserve">ORD-10598</t>
  </si>
  <si>
    <t xml:space="preserve">2025-09-24</t>
  </si>
  <si>
    <t xml:space="preserve">ORD-10611</t>
  </si>
  <si>
    <t xml:space="preserve">ORD-10817</t>
  </si>
  <si>
    <t xml:space="preserve">ORD-10151</t>
  </si>
  <si>
    <t xml:space="preserve">16 Mar 2025</t>
  </si>
  <si>
    <t xml:space="preserve">ORD-10806</t>
  </si>
  <si>
    <t xml:space="preserve">06-12-25</t>
  </si>
  <si>
    <t xml:space="preserve">ORD-10433</t>
  </si>
  <si>
    <t xml:space="preserve">ORD-10161</t>
  </si>
  <si>
    <t xml:space="preserve">03/23/2025</t>
  </si>
  <si>
    <t xml:space="preserve">ORD-10581</t>
  </si>
  <si>
    <t xml:space="preserve">ORD-10795</t>
  </si>
  <si>
    <t xml:space="preserve">12/02/2025</t>
  </si>
  <si>
    <t xml:space="preserve">Liam Moore</t>
  </si>
  <si>
    <t xml:space="preserve">ORD-10491</t>
  </si>
  <si>
    <t xml:space="preserve">ORD-10568</t>
  </si>
  <si>
    <t xml:space="preserve">10 Sep 2025</t>
  </si>
  <si>
    <t xml:space="preserve">ORD-10636</t>
  </si>
  <si>
    <t xml:space="preserve">ORD-10833</t>
  </si>
  <si>
    <t xml:space="preserve">11-12-25</t>
  </si>
  <si>
    <t xml:space="preserve">ORD-10111</t>
  </si>
  <si>
    <t xml:space="preserve">02/26/2025</t>
  </si>
  <si>
    <t xml:space="preserve">ORD-10256</t>
  </si>
  <si>
    <t xml:space="preserve">05/08/2025</t>
  </si>
  <si>
    <t xml:space="preserve">ORD-10714</t>
  </si>
  <si>
    <t xml:space="preserve">07 Nov 2025</t>
  </si>
  <si>
    <t xml:space="preserve">ORD-10487</t>
  </si>
  <si>
    <t xml:space="preserve">09 Aug 2025</t>
  </si>
  <si>
    <t xml:space="preserve">ORD-10135</t>
  </si>
  <si>
    <t xml:space="preserve">09 Mar 2025</t>
  </si>
  <si>
    <t xml:space="preserve">ORD-10081</t>
  </si>
  <si>
    <t xml:space="preserve">ORD-10800</t>
  </si>
  <si>
    <t xml:space="preserve">2025-12-03</t>
  </si>
  <si>
    <t xml:space="preserve">ORD-10041</t>
  </si>
  <si>
    <t xml:space="preserve">ORD-10181</t>
  </si>
  <si>
    <t xml:space="preserve">04/01/2025</t>
  </si>
  <si>
    <t xml:space="preserve">ORD-10020</t>
  </si>
  <si>
    <t xml:space="preserve">01/10/2025</t>
  </si>
  <si>
    <t xml:space="preserve">ORD-10519</t>
  </si>
  <si>
    <t xml:space="preserve">ORD-10474</t>
  </si>
  <si>
    <t xml:space="preserve">ORD-10415</t>
  </si>
  <si>
    <t xml:space="preserve">ORD-10172</t>
  </si>
  <si>
    <t xml:space="preserve">ORD-10441</t>
  </si>
  <si>
    <t xml:space="preserve">20-07-25</t>
  </si>
  <si>
    <t xml:space="preserve">ORD-10056</t>
  </si>
  <si>
    <t xml:space="preserve">2025-01-26</t>
  </si>
  <si>
    <t xml:space="preserve">ORD-10156</t>
  </si>
  <si>
    <t xml:space="preserve">19 Mar 2025</t>
  </si>
  <si>
    <t xml:space="preserve">ORD-10807</t>
  </si>
  <si>
    <t xml:space="preserve">ORD-10517</t>
  </si>
  <si>
    <t xml:space="preserve">2025-08-19</t>
  </si>
  <si>
    <t xml:space="preserve">ORD-10835</t>
  </si>
  <si>
    <t xml:space="preserve">12-12-25</t>
  </si>
  <si>
    <t xml:space="preserve">ORD-10443</t>
  </si>
  <si>
    <t xml:space="preserve">2025-07-20</t>
  </si>
  <si>
    <t xml:space="preserve">ORD-10067</t>
  </si>
  <si>
    <t xml:space="preserve">ORD-10422</t>
  </si>
  <si>
    <t xml:space="preserve">10 Jul 2025</t>
  </si>
  <si>
    <t xml:space="preserve">ORD-10727</t>
  </si>
  <si>
    <t xml:space="preserve">ORD-10707</t>
  </si>
  <si>
    <t xml:space="preserve">2025-11-05</t>
  </si>
  <si>
    <t xml:space="preserve">ORD-10593</t>
  </si>
  <si>
    <t xml:space="preserve">ORD-10883</t>
  </si>
  <si>
    <t xml:space="preserve">24-12-25</t>
  </si>
  <si>
    <t xml:space="preserve">ORD-10204</t>
  </si>
  <si>
    <t xml:space="preserve">2025-04-11</t>
  </si>
  <si>
    <t xml:space="preserve">ORD-10656</t>
  </si>
  <si>
    <t xml:space="preserve">14 Oct 2025</t>
  </si>
  <si>
    <t xml:space="preserve">ORD-10107</t>
  </si>
  <si>
    <t xml:space="preserve">2025-02-24</t>
  </si>
  <si>
    <t xml:space="preserve">ORD-10148</t>
  </si>
  <si>
    <t xml:space="preserve">14-03-25</t>
  </si>
  <si>
    <t xml:space="preserve">ORD-10715</t>
  </si>
  <si>
    <t xml:space="preserve">07-11-25</t>
  </si>
  <si>
    <t xml:space="preserve">Ben Malik</t>
  </si>
  <si>
    <t xml:space="preserve">ORD-10527</t>
  </si>
  <si>
    <t xml:space="preserve">ORD-10874</t>
  </si>
  <si>
    <t xml:space="preserve">2025-12-21</t>
  </si>
  <si>
    <t xml:space="preserve">ORD-10555</t>
  </si>
  <si>
    <t xml:space="preserve">2025-09-05</t>
  </si>
  <si>
    <t xml:space="preserve">ORD-10634</t>
  </si>
  <si>
    <t xml:space="preserve">ORD-10624</t>
  </si>
  <si>
    <t xml:space="preserve">04 Oct 2025</t>
  </si>
  <si>
    <t xml:space="preserve">ORD-10065</t>
  </si>
  <si>
    <t xml:space="preserve">02/01/2025</t>
  </si>
  <si>
    <t xml:space="preserve">ORD-10357</t>
  </si>
  <si>
    <t xml:space="preserve">ORD-10406</t>
  </si>
  <si>
    <t xml:space="preserve">ORD-10803</t>
  </si>
  <si>
    <t xml:space="preserve">ORD-10184</t>
  </si>
  <si>
    <t xml:space="preserve">01-04-25</t>
  </si>
  <si>
    <t xml:space="preserve">ORD-10733</t>
  </si>
  <si>
    <t xml:space="preserve">ORD-10705</t>
  </si>
  <si>
    <t xml:space="preserve">ORD-10794</t>
  </si>
  <si>
    <t xml:space="preserve">ORD-10252</t>
  </si>
  <si>
    <t xml:space="preserve">2025-05-05</t>
  </si>
  <si>
    <t xml:space="preserve">ORD-10211</t>
  </si>
  <si>
    <t xml:space="preserve">2025-04-17</t>
  </si>
  <si>
    <t xml:space="preserve">ORD-10834</t>
  </si>
  <si>
    <t xml:space="preserve">Hassan Young</t>
  </si>
  <si>
    <t xml:space="preserve">ORD-10207</t>
  </si>
  <si>
    <t xml:space="preserve">04/15/2025</t>
  </si>
  <si>
    <t xml:space="preserve">ORD-10518</t>
  </si>
  <si>
    <t xml:space="preserve">ORD-10048</t>
  </si>
  <si>
    <t xml:space="preserve">ORD-10018</t>
  </si>
  <si>
    <t xml:space="preserve">ORD-10843</t>
  </si>
  <si>
    <t xml:space="preserve">ORD-10444</t>
  </si>
  <si>
    <t xml:space="preserve">21 Jul 2025</t>
  </si>
  <si>
    <t xml:space="preserve">ORD-10784</t>
  </si>
  <si>
    <t xml:space="preserve">11/26/2025</t>
  </si>
  <si>
    <t xml:space="preserve">ORD-10631</t>
  </si>
  <si>
    <t xml:space="preserve">2025-10-05</t>
  </si>
  <si>
    <t xml:space="preserve">ORD-10652</t>
  </si>
  <si>
    <t xml:space="preserve">ORD-10438</t>
  </si>
  <si>
    <t xml:space="preserve">07/19/2025</t>
  </si>
  <si>
    <t xml:space="preserve">ORD-10064</t>
  </si>
  <si>
    <t xml:space="preserve">2025-02-01</t>
  </si>
  <si>
    <t xml:space="preserve">ORD-10660</t>
  </si>
  <si>
    <t xml:space="preserve">16 Oct 2025</t>
  </si>
  <si>
    <t xml:space="preserve">ORD-10511</t>
  </si>
  <si>
    <t xml:space="preserve">17-08-25</t>
  </si>
  <si>
    <t xml:space="preserve">ORD-10271</t>
  </si>
  <si>
    <t xml:space="preserve">ORD-10060</t>
  </si>
  <si>
    <t xml:space="preserve">27 Jan 2025</t>
  </si>
  <si>
    <t xml:space="preserve">ORD-10719</t>
  </si>
  <si>
    <t xml:space="preserve">ORD-10123</t>
  </si>
  <si>
    <t xml:space="preserve">ORD-10166</t>
  </si>
  <si>
    <t xml:space="preserve">ORD-10344</t>
  </si>
  <si>
    <t xml:space="preserve">ORD-10691</t>
  </si>
  <si>
    <t xml:space="preserve">ORD-10735</t>
  </si>
  <si>
    <t xml:space="preserve">ORD-10788</t>
  </si>
  <si>
    <t xml:space="preserve">ORD-10566</t>
  </si>
  <si>
    <t xml:space="preserve">09/09/2025</t>
  </si>
  <si>
    <t xml:space="preserve">ORD-10199</t>
  </si>
  <si>
    <t xml:space="preserve">2025-04-08</t>
  </si>
  <si>
    <t xml:space="preserve">ORD-10661</t>
  </si>
  <si>
    <t xml:space="preserve">10/16/2025</t>
  </si>
  <si>
    <t xml:space="preserve">ORD-10157</t>
  </si>
  <si>
    <t xml:space="preserve">ORD-10004</t>
  </si>
  <si>
    <t xml:space="preserve">ORD-10180</t>
  </si>
  <si>
    <t xml:space="preserve">28 Mar 2025</t>
  </si>
  <si>
    <t xml:space="preserve">ORD-10596</t>
  </si>
  <si>
    <t xml:space="preserve">24 Sep 2025</t>
  </si>
  <si>
    <t xml:space="preserve">ORD-10130</t>
  </si>
  <si>
    <t xml:space="preserve">ORD-10220</t>
  </si>
  <si>
    <t xml:space="preserve">2025-04-21</t>
  </si>
  <si>
    <t xml:space="preserve">ORD-10330</t>
  </si>
  <si>
    <t xml:space="preserve">ORD-10564</t>
  </si>
  <si>
    <t xml:space="preserve">ORD-10153</t>
  </si>
  <si>
    <t xml:space="preserve">ORD-10050</t>
  </si>
  <si>
    <t xml:space="preserve">01/23/2025</t>
  </si>
  <si>
    <t xml:space="preserve">ORD-10717</t>
  </si>
  <si>
    <t xml:space="preserve">11/08/2025</t>
  </si>
  <si>
    <t xml:space="preserve">ORD-10585</t>
  </si>
  <si>
    <t xml:space="preserve">18 Sep 2025</t>
  </si>
  <si>
    <t xml:space="preserve">ORD-10540</t>
  </si>
  <si>
    <t xml:space="preserve">01-09-25</t>
  </si>
  <si>
    <t xml:space="preserve">ORD-10763</t>
  </si>
  <si>
    <t xml:space="preserve">2025-11-21</t>
  </si>
  <si>
    <t xml:space="preserve">ORD-10453</t>
  </si>
  <si>
    <t xml:space="preserve">ORD-10326</t>
  </si>
  <si>
    <t xml:space="preserve">06/06/2025</t>
  </si>
  <si>
    <t xml:space="preserve">ORD-10533</t>
  </si>
  <si>
    <t xml:space="preserve">08/26/2025</t>
  </si>
  <si>
    <t xml:space="preserve">ORD-10639</t>
  </si>
  <si>
    <t xml:space="preserve">ORD-10576</t>
  </si>
  <si>
    <t xml:space="preserve">2025-09-15</t>
  </si>
  <si>
    <t xml:space="preserve">ORD-10436</t>
  </si>
  <si>
    <t xml:space="preserve">2025-07-17</t>
  </si>
  <si>
    <t xml:space="preserve">ORD-10338</t>
  </si>
  <si>
    <t xml:space="preserve">ORD-10494</t>
  </si>
  <si>
    <t xml:space="preserve">2025-08-11</t>
  </si>
  <si>
    <t xml:space="preserve">ORD-10508</t>
  </si>
  <si>
    <t xml:space="preserve">2025-08-15</t>
  </si>
  <si>
    <t xml:space="preserve">ORD-10057</t>
  </si>
  <si>
    <t xml:space="preserve">26-01-25</t>
  </si>
  <si>
    <t xml:space="preserve">ORD-10676</t>
  </si>
  <si>
    <t xml:space="preserve">22 Oct 2025</t>
  </si>
  <si>
    <t xml:space="preserve">ORD-10387</t>
  </si>
  <si>
    <t xml:space="preserve">ORD-10573</t>
  </si>
  <si>
    <t xml:space="preserve">14-09-25</t>
  </si>
  <si>
    <t xml:space="preserve">ORD-10745</t>
  </si>
  <si>
    <t xml:space="preserve">ORD-10644</t>
  </si>
  <si>
    <t xml:space="preserve">11-10-25</t>
  </si>
  <si>
    <t xml:space="preserve">ORD-10512</t>
  </si>
  <si>
    <t xml:space="preserve">ORD-10229</t>
  </si>
  <si>
    <t xml:space="preserve">24-04-25</t>
  </si>
  <si>
    <t xml:space="preserve">ORD-10829</t>
  </si>
  <si>
    <t xml:space="preserve">ORD-10077</t>
  </si>
  <si>
    <t xml:space="preserve">02/05/2025</t>
  </si>
  <si>
    <t xml:space="preserve">ORD-10426</t>
  </si>
  <si>
    <t xml:space="preserve">ORD-10313</t>
  </si>
  <si>
    <t xml:space="preserve">05/27/2025</t>
  </si>
  <si>
    <t xml:space="preserve">ORD-10262</t>
  </si>
  <si>
    <t xml:space="preserve">ORD-10456</t>
  </si>
  <si>
    <t xml:space="preserve">2025-07-26</t>
  </si>
  <si>
    <t xml:space="preserve">ORD-10432</t>
  </si>
  <si>
    <t xml:space="preserve">ORD-10823</t>
  </si>
  <si>
    <t xml:space="preserve">ORD-10747</t>
  </si>
  <si>
    <t xml:space="preserve">2025-11-15</t>
  </si>
  <si>
    <t xml:space="preserve">ORD-10681</t>
  </si>
  <si>
    <t xml:space="preserve">24 Oct 2025</t>
  </si>
  <si>
    <t xml:space="preserve">ORD-10341</t>
  </si>
  <si>
    <t xml:space="preserve">ORD-10663</t>
  </si>
  <si>
    <t xml:space="preserve">ORD-10549</t>
  </si>
  <si>
    <t xml:space="preserve">03-09-25</t>
  </si>
  <si>
    <t xml:space="preserve">ORD-10524</t>
  </si>
  <si>
    <t xml:space="preserve">24 Aug 2025</t>
  </si>
  <si>
    <t xml:space="preserve">ORD-10345</t>
  </si>
  <si>
    <t xml:space="preserve">ORD-10371</t>
  </si>
  <si>
    <t xml:space="preserve">ORD-10781</t>
  </si>
  <si>
    <t xml:space="preserve">ORD-10239</t>
  </si>
  <si>
    <t xml:space="preserve">ORD-10083</t>
  </si>
  <si>
    <t xml:space="preserve">2025-02-10</t>
  </si>
  <si>
    <t xml:space="preserve">ORD-10778</t>
  </si>
  <si>
    <t xml:space="preserve">ORD-10169</t>
  </si>
  <si>
    <t xml:space="preserve">ORD-10792</t>
  </si>
  <si>
    <t xml:space="preserve">12/01/2025</t>
  </si>
  <si>
    <t xml:space="preserve">ORD-10889</t>
  </si>
  <si>
    <t xml:space="preserve">ORD-10127</t>
  </si>
  <si>
    <t xml:space="preserve">ORD-10772</t>
  </si>
  <si>
    <t xml:space="preserve">ORD-10570</t>
  </si>
  <si>
    <t xml:space="preserve">ORD-10039</t>
  </si>
  <si>
    <t xml:space="preserve">01/18/2025</t>
  </si>
  <si>
    <t xml:space="preserve">ORD-10526</t>
  </si>
  <si>
    <t xml:space="preserve">2025-08-24</t>
  </si>
  <si>
    <t xml:space="preserve">ORD-10337</t>
  </si>
  <si>
    <t xml:space="preserve">2025-06-10</t>
  </si>
  <si>
    <t xml:space="preserve">ORD-10149</t>
  </si>
  <si>
    <t xml:space="preserve">ORD-10713</t>
  </si>
  <si>
    <t xml:space="preserve">2025-11-07</t>
  </si>
  <si>
    <t xml:space="preserve">ORD-10293</t>
  </si>
  <si>
    <t xml:space="preserve">ORD-10694</t>
  </si>
  <si>
    <t xml:space="preserve">ORD-10248</t>
  </si>
  <si>
    <t xml:space="preserve">2025-05-03</t>
  </si>
  <si>
    <t xml:space="preserve">ORD-10815</t>
  </si>
  <si>
    <t xml:space="preserve">ORD-10871</t>
  </si>
  <si>
    <t xml:space="preserve">ORD-10147</t>
  </si>
  <si>
    <t xml:space="preserve">ORD-10751</t>
  </si>
  <si>
    <t xml:space="preserve">11/17/2025</t>
  </si>
  <si>
    <t xml:space="preserve">ORD-10054</t>
  </si>
  <si>
    <t xml:space="preserve">01/25/2025</t>
  </si>
  <si>
    <t xml:space="preserve">ORD-10467</t>
  </si>
  <si>
    <t xml:space="preserve">ORD-10900</t>
  </si>
  <si>
    <t xml:space="preserve">ORD-10162</t>
  </si>
  <si>
    <t xml:space="preserve">24 Mar 2025</t>
  </si>
  <si>
    <t xml:space="preserve">ORD-10186</t>
  </si>
  <si>
    <t xml:space="preserve">ORD-10329</t>
  </si>
  <si>
    <t xml:space="preserve">06/08/2025</t>
  </si>
  <si>
    <t xml:space="preserve">ORD-10730</t>
  </si>
  <si>
    <t xml:space="preserve">ORD-10197</t>
  </si>
  <si>
    <t xml:space="preserve">08-04-25</t>
  </si>
  <si>
    <t xml:space="preserve">ORD-10689</t>
  </si>
  <si>
    <t xml:space="preserve">ORD-10668</t>
  </si>
  <si>
    <t xml:space="preserve">2025-10-20</t>
  </si>
  <si>
    <t xml:space="preserve">ORD-10630</t>
  </si>
  <si>
    <t xml:space="preserve">Sana Butt</t>
  </si>
  <si>
    <t xml:space="preserve">ORD-10599</t>
  </si>
  <si>
    <t xml:space="preserve">ORD-10034</t>
  </si>
  <si>
    <t xml:space="preserve">16 Jan 2025</t>
  </si>
  <si>
    <t xml:space="preserve">ORD-10101</t>
  </si>
  <si>
    <t xml:space="preserve">20-02-25</t>
  </si>
  <si>
    <t xml:space="preserve">ORD-10274</t>
  </si>
  <si>
    <t xml:space="preserve">ORD-10396</t>
  </si>
  <si>
    <t xml:space="preserve">ORD-10865</t>
  </si>
  <si>
    <t xml:space="preserve">ORD-10094</t>
  </si>
  <si>
    <t xml:space="preserve">02/17/2025</t>
  </si>
  <si>
    <t xml:space="preserve">ORD-10016</t>
  </si>
  <si>
    <t xml:space="preserve">2025-01-09</t>
  </si>
  <si>
    <t xml:space="preserve">ORD-10693</t>
  </si>
  <si>
    <t xml:space="preserve">01-11-25</t>
  </si>
  <si>
    <t xml:space="preserve">ORD-10840</t>
  </si>
  <si>
    <t xml:space="preserve">ORD-10318</t>
  </si>
  <si>
    <t xml:space="preserve">06/02/2025</t>
  </si>
  <si>
    <t xml:space="preserve">ORD-10323</t>
  </si>
  <si>
    <t xml:space="preserve">2025-06-05</t>
  </si>
  <si>
    <t xml:space="preserve">ORD-10604</t>
  </si>
  <si>
    <t xml:space="preserve">25 Sep 2025</t>
  </si>
  <si>
    <t xml:space="preserve">ORD-10209</t>
  </si>
  <si>
    <t xml:space="preserve">ORD-10737</t>
  </si>
  <si>
    <t xml:space="preserve">ORD-10473</t>
  </si>
  <si>
    <t xml:space="preserve">ORD-10434</t>
  </si>
  <si>
    <t xml:space="preserve">2025-07-16</t>
  </si>
  <si>
    <t xml:space="preserve">ORD-10755</t>
  </si>
  <si>
    <t xml:space="preserve">2025-11-18</t>
  </si>
  <si>
    <t xml:space="preserve">ORD-10497</t>
  </si>
  <si>
    <t xml:space="preserve">ORD-10409</t>
  </si>
  <si>
    <t xml:space="preserve">07/03/2025</t>
  </si>
  <si>
    <t xml:space="preserve">ORD-10647</t>
  </si>
  <si>
    <t xml:space="preserve">ORD-10460</t>
  </si>
  <si>
    <t xml:space="preserve">2025-07-28</t>
  </si>
  <si>
    <t xml:space="preserve">ORD-10811</t>
  </si>
  <si>
    <t xml:space="preserve">ORD-10525</t>
  </si>
  <si>
    <t xml:space="preserve">ORD-10179</t>
  </si>
  <si>
    <t xml:space="preserve">27-03-25</t>
  </si>
  <si>
    <t xml:space="preserve">ORD-10470</t>
  </si>
  <si>
    <t xml:space="preserve">ORD-10335</t>
  </si>
  <si>
    <t xml:space="preserve">06/10/2025</t>
  </si>
  <si>
    <t xml:space="preserve">ORD-10120</t>
  </si>
  <si>
    <t xml:space="preserve">03 Mar 2025</t>
  </si>
  <si>
    <t xml:space="preserve">ORD-10090</t>
  </si>
  <si>
    <t xml:space="preserve">2025-02-14</t>
  </si>
  <si>
    <t xml:space="preserve">ORD-10482</t>
  </si>
  <si>
    <t xml:space="preserve">ORD-10076</t>
  </si>
  <si>
    <t xml:space="preserve">2025-02-05</t>
  </si>
  <si>
    <t xml:space="preserve">ORD-10121</t>
  </si>
  <si>
    <t xml:space="preserve">2025-03-03</t>
  </si>
  <si>
    <t xml:space="preserve">ORD-10541</t>
  </si>
  <si>
    <t xml:space="preserve">01 Sep 2025</t>
  </si>
  <si>
    <t xml:space="preserve">ORD-10404</t>
  </si>
  <si>
    <t xml:space="preserve">2025-07-02</t>
  </si>
  <si>
    <t xml:space="preserve">ORD-10721</t>
  </si>
  <si>
    <t xml:space="preserve">ORD-10879</t>
  </si>
  <si>
    <t xml:space="preserve">23-12-25</t>
  </si>
  <si>
    <t xml:space="preserve">ORD-10561</t>
  </si>
  <si>
    <t xml:space="preserve">ORD-10322</t>
  </si>
  <si>
    <t xml:space="preserve">ORD-10877</t>
  </si>
  <si>
    <t xml:space="preserve">ORD-10136</t>
  </si>
  <si>
    <t xml:space="preserve">09-03-25</t>
  </si>
  <si>
    <t xml:space="preserve">ORD-10578</t>
  </si>
  <si>
    <t xml:space="preserve">ORD-10210</t>
  </si>
  <si>
    <t xml:space="preserve">17 Apr 2025</t>
  </si>
  <si>
    <t xml:space="preserve">ORD-10154</t>
  </si>
  <si>
    <t xml:space="preserve">2025-03-17</t>
  </si>
  <si>
    <t xml:space="preserve">ORD-10168</t>
  </si>
  <si>
    <t xml:space="preserve">ORD-10097</t>
  </si>
  <si>
    <t xml:space="preserve">02/18/2025</t>
  </si>
  <si>
    <t xml:space="preserve">ORD-10649</t>
  </si>
  <si>
    <t xml:space="preserve">ORD-10320</t>
  </si>
  <si>
    <t xml:space="preserve">03 Jun 2025</t>
  </si>
  <si>
    <t xml:space="preserve">ORD-10206</t>
  </si>
  <si>
    <t xml:space="preserve">ORD-10824</t>
  </si>
  <si>
    <t xml:space="preserve">ORD-10058</t>
  </si>
  <si>
    <t xml:space="preserve">ORD-10761</t>
  </si>
  <si>
    <t xml:space="preserve">ORD-10213</t>
  </si>
  <si>
    <t xml:space="preserve">ORD-10682</t>
  </si>
  <si>
    <t xml:space="preserve">10/24/2025</t>
  </si>
  <si>
    <t xml:space="preserve">ORD-10711</t>
  </si>
  <si>
    <t xml:space="preserve">11/06/2025</t>
  </si>
  <si>
    <t xml:space="preserve">ORD-10334</t>
  </si>
  <si>
    <t xml:space="preserve">ORD-10163</t>
  </si>
  <si>
    <t xml:space="preserve">ORD-10520</t>
  </si>
  <si>
    <t xml:space="preserve">22-08-25</t>
  </si>
  <si>
    <t xml:space="preserve">ORD-10855</t>
  </si>
  <si>
    <t xml:space="preserve">18 Dec 2025</t>
  </si>
  <si>
    <t xml:space="preserve">ORD-10451</t>
  </si>
  <si>
    <t xml:space="preserve">24 Jul 2025</t>
  </si>
  <si>
    <t xml:space="preserve">ORD-10008</t>
  </si>
  <si>
    <t xml:space="preserve">ORD-10731</t>
  </si>
  <si>
    <t xml:space="preserve">11/12/2025</t>
  </si>
  <si>
    <t xml:space="preserve">ORD-10325</t>
  </si>
  <si>
    <t xml:space="preserve">ORD-10047</t>
  </si>
  <si>
    <t xml:space="preserve">2025-01-22</t>
  </si>
  <si>
    <t xml:space="preserve">ORD-10026</t>
  </si>
  <si>
    <t xml:space="preserve">ORD-10106</t>
  </si>
  <si>
    <t xml:space="preserve">02/21/2025</t>
  </si>
  <si>
    <t xml:space="preserve">ORD-10700</t>
  </si>
  <si>
    <t xml:space="preserve">ORD-10241</t>
  </si>
  <si>
    <t xml:space="preserve">ORD-10685</t>
  </si>
  <si>
    <t xml:space="preserve">ORD-10270</t>
  </si>
  <si>
    <t xml:space="preserve">2025-05-13</t>
  </si>
  <si>
    <t xml:space="preserve">ORD-10327</t>
  </si>
  <si>
    <t xml:space="preserve">2025-06-07</t>
  </si>
  <si>
    <t xml:space="preserve">ORD-10821</t>
  </si>
  <si>
    <t xml:space="preserve">2025-12-09</t>
  </si>
  <si>
    <t xml:space="preserve">ORD-10160</t>
  </si>
  <si>
    <t xml:space="preserve">2025-03-23</t>
  </si>
  <si>
    <t xml:space="preserve">ORD-10589</t>
  </si>
  <si>
    <t xml:space="preserve">21-09-25</t>
  </si>
  <si>
    <t xml:space="preserve">ORD-10722</t>
  </si>
  <si>
    <t xml:space="preserve">ORD-10758</t>
  </si>
  <si>
    <t xml:space="preserve">19 Nov 2025</t>
  </si>
  <si>
    <t xml:space="preserve">ORD-10813</t>
  </si>
  <si>
    <t xml:space="preserve">07 Dec 2025</t>
  </si>
  <si>
    <t xml:space="preserve">ORD-10625</t>
  </si>
  <si>
    <t xml:space="preserve">ORD-10137</t>
  </si>
  <si>
    <t xml:space="preserve">ORD-10342</t>
  </si>
  <si>
    <t xml:space="preserve">12 Jun 2025</t>
  </si>
  <si>
    <t xml:space="preserve">ORD-10230</t>
  </si>
  <si>
    <t xml:space="preserve">ORD-10847</t>
  </si>
  <si>
    <t xml:space="preserve">ORD-10245</t>
  </si>
  <si>
    <t xml:space="preserve">02-05-25</t>
  </si>
  <si>
    <t xml:space="preserve">ORD-10749</t>
  </si>
  <si>
    <t xml:space="preserve">11/16/2025</t>
  </si>
  <si>
    <t xml:space="preserve">ORD-10591</t>
  </si>
  <si>
    <t xml:space="preserve">22-09-25</t>
  </si>
  <si>
    <t xml:space="preserve">ORD-10798</t>
  </si>
  <si>
    <t xml:space="preserve">ORD-10009</t>
  </si>
  <si>
    <t xml:space="preserve">2025-01-04</t>
  </si>
  <si>
    <t xml:space="preserve">ORD-10475</t>
  </si>
  <si>
    <t xml:space="preserve">ORD-10446</t>
  </si>
  <si>
    <t xml:space="preserve">ORD-10769</t>
  </si>
  <si>
    <t xml:space="preserve">23 Nov 2025</t>
  </si>
  <si>
    <t xml:space="preserve">ORD-10275</t>
  </si>
  <si>
    <t xml:space="preserve">2025-05-14</t>
  </si>
  <si>
    <t xml:space="preserve">ORD-10189</t>
  </si>
  <si>
    <t xml:space="preserve">03-04-25</t>
  </si>
  <si>
    <t xml:space="preserve">ORD-10565</t>
  </si>
  <si>
    <t xml:space="preserve">2025-09-09</t>
  </si>
  <si>
    <t xml:space="preserve">ORD-10732</t>
  </si>
  <si>
    <t xml:space="preserve">12-11-25</t>
  </si>
  <si>
    <t xml:space="preserve">ORD-10782</t>
  </si>
  <si>
    <t xml:space="preserve">ORD-10098</t>
  </si>
  <si>
    <t xml:space="preserve">18-02-25</t>
  </si>
  <si>
    <t xml:space="preserve">ORD-10292</t>
  </si>
  <si>
    <t xml:space="preserve">2025-05-19</t>
  </si>
  <si>
    <t xml:space="preserve">ORD-10014</t>
  </si>
  <si>
    <t xml:space="preserve">07-01-25</t>
  </si>
  <si>
    <t xml:space="preserve">ORD-10523</t>
  </si>
  <si>
    <t xml:space="preserve">ORD-10112</t>
  </si>
  <si>
    <t xml:space="preserve">26-02-25</t>
  </si>
  <si>
    <t xml:space="preserve">ORD-10201</t>
  </si>
  <si>
    <t xml:space="preserve">ORD-10369</t>
  </si>
  <si>
    <t xml:space="preserve">ORD-10753</t>
  </si>
  <si>
    <t xml:space="preserve">2025-11-17</t>
  </si>
  <si>
    <t xml:space="preserve">ORD-10174</t>
  </si>
  <si>
    <t xml:space="preserve">26-03-25</t>
  </si>
  <si>
    <t xml:space="preserve">ORD-10445</t>
  </si>
  <si>
    <t xml:space="preserve">07/21/2025</t>
  </si>
  <si>
    <t xml:space="preserve">ORD-10139</t>
  </si>
  <si>
    <t xml:space="preserve">2025-03-10</t>
  </si>
  <si>
    <t xml:space="preserve">ORD-10757</t>
  </si>
  <si>
    <t xml:space="preserve">11/19/2025</t>
  </si>
  <si>
    <t xml:space="preserve">ORD-10259</t>
  </si>
  <si>
    <t xml:space="preserve">ORD-10376</t>
  </si>
  <si>
    <t xml:space="preserve">21 Jun 2025</t>
  </si>
  <si>
    <t xml:space="preserve">ORD-10231</t>
  </si>
  <si>
    <t xml:space="preserve">ORD-10374</t>
  </si>
  <si>
    <t xml:space="preserve">ORD-10853</t>
  </si>
  <si>
    <t xml:space="preserve">2025-12-17</t>
  </si>
  <si>
    <t xml:space="preserve">RETURNED</t>
  </si>
  <si>
    <t xml:space="preserve">ORD-10301</t>
  </si>
  <si>
    <t xml:space="preserve">ORD-10159</t>
  </si>
  <si>
    <t xml:space="preserve">22-03-25</t>
  </si>
  <si>
    <t xml:space="preserve">ORD-10542</t>
  </si>
  <si>
    <t xml:space="preserve">ORD-10233</t>
  </si>
  <si>
    <t xml:space="preserve">ORD-10238</t>
  </si>
  <si>
    <t xml:space="preserve">ORD-10232</t>
  </si>
  <si>
    <t xml:space="preserve">26-04-25</t>
  </si>
  <si>
    <t xml:space="preserve">ORD-10348</t>
  </si>
  <si>
    <t xml:space="preserve">14-06-25</t>
  </si>
  <si>
    <t xml:space="preserve">ORD-10610</t>
  </si>
  <si>
    <t xml:space="preserve">ORD-10423</t>
  </si>
  <si>
    <t xml:space="preserve">2025-07-10</t>
  </si>
  <si>
    <t xml:space="preserve">ORD-10066</t>
  </si>
  <si>
    <t xml:space="preserve">01-02-25</t>
  </si>
  <si>
    <t xml:space="preserve">ORD-10771</t>
  </si>
  <si>
    <t xml:space="preserve">ORD-10521</t>
  </si>
  <si>
    <t xml:space="preserve">ORD-10556</t>
  </si>
  <si>
    <t xml:space="preserve">05 Sep 2025</t>
  </si>
  <si>
    <t xml:space="preserve">ORD-10266</t>
  </si>
  <si>
    <t xml:space="preserve">05/12/2025</t>
  </si>
  <si>
    <t xml:space="preserve">ORD-10709</t>
  </si>
  <si>
    <t xml:space="preserve">06 Nov 2025</t>
  </si>
  <si>
    <t xml:space="preserve">ORD-10506</t>
  </si>
  <si>
    <t xml:space="preserve">08/14/2025</t>
  </si>
  <si>
    <t xml:space="preserve">ORD-10010</t>
  </si>
  <si>
    <t xml:space="preserve">ORD-10502</t>
  </si>
  <si>
    <t xml:space="preserve">ORD-10264</t>
  </si>
  <si>
    <t xml:space="preserve">ORD-10133</t>
  </si>
  <si>
    <t xml:space="preserve">03/08/2025</t>
  </si>
  <si>
    <t xml:space="preserve">ORD-10530</t>
  </si>
  <si>
    <t xml:space="preserve">ORD-10814</t>
  </si>
  <si>
    <t xml:space="preserve">ORD-10037</t>
  </si>
  <si>
    <t xml:space="preserve">ORD-10896</t>
  </si>
  <si>
    <t xml:space="preserve">ORD-10830</t>
  </si>
  <si>
    <t xml:space="preserve">11 Dec 2025</t>
  </si>
  <si>
    <t xml:space="preserve">ORD-10669</t>
  </si>
  <si>
    <t xml:space="preserve">ORD-10226</t>
  </si>
  <si>
    <t xml:space="preserve">23-04-25</t>
  </si>
  <si>
    <t xml:space="preserve">ORD-10674</t>
  </si>
  <si>
    <t xml:space="preserve">ORD-10205</t>
  </si>
  <si>
    <t xml:space="preserve">04/14/2025</t>
  </si>
  <si>
    <t xml:space="preserve">ORD-10869</t>
  </si>
  <si>
    <t xml:space="preserve">ORD-10115</t>
  </si>
  <si>
    <t xml:space="preserve">02/28/2025</t>
  </si>
  <si>
    <t xml:space="preserve">ORD-10645</t>
  </si>
  <si>
    <t xml:space="preserve">ORD-10373</t>
  </si>
  <si>
    <t xml:space="preserve">2025-06-20</t>
  </si>
  <si>
    <t xml:space="preserve">ORD-10677</t>
  </si>
  <si>
    <t xml:space="preserve">ORD-10011</t>
  </si>
  <si>
    <t xml:space="preserve">07 Jan 2025</t>
  </si>
  <si>
    <t xml:space="preserve">ORD-10698</t>
  </si>
  <si>
    <t xml:space="preserve">ORD-10410</t>
  </si>
  <si>
    <t xml:space="preserve">2025-07-04</t>
  </si>
  <si>
    <t xml:space="preserve">ORD-10531</t>
  </si>
  <si>
    <t xml:space="preserve">26 Aug 2025</t>
  </si>
  <si>
    <t xml:space="preserve">ORD-10680</t>
  </si>
  <si>
    <t xml:space="preserve">2025-10-23</t>
  </si>
  <si>
    <t xml:space="preserve">ORD-10729</t>
  </si>
  <si>
    <t xml:space="preserve">11 Nov 2025</t>
  </si>
  <si>
    <t xml:space="preserve">ORD-10653</t>
  </si>
  <si>
    <t xml:space="preserve">12-10-25</t>
  </si>
  <si>
    <t xml:space="preserve">ORD-10384</t>
  </si>
  <si>
    <t xml:space="preserve">ORD-10545</t>
  </si>
  <si>
    <t xml:space="preserve">09/02/2025</t>
  </si>
  <si>
    <t xml:space="preserve">ORD-10377</t>
  </si>
  <si>
    <t xml:space="preserve">ORD-10666</t>
  </si>
  <si>
    <t xml:space="preserve">ORD-10126</t>
  </si>
  <si>
    <t xml:space="preserve">03/04/2025</t>
  </si>
  <si>
    <t xml:space="preserve">ORD-10200</t>
  </si>
  <si>
    <t xml:space="preserve">09 Apr 2025</t>
  </si>
  <si>
    <t xml:space="preserve">ORD-10223</t>
  </si>
  <si>
    <t xml:space="preserve">ORD-10641</t>
  </si>
  <si>
    <t xml:space="preserve">ORD-10287</t>
  </si>
  <si>
    <t xml:space="preserve">18 May 2025</t>
  </si>
  <si>
    <t xml:space="preserve">ORD-10388</t>
  </si>
  <si>
    <t xml:space="preserve">ORD-10452</t>
  </si>
  <si>
    <t xml:space="preserve">25-07-25</t>
  </si>
  <si>
    <t xml:space="preserve">ORD-10609</t>
  </si>
  <si>
    <t xml:space="preserve">ORD-10053</t>
  </si>
  <si>
    <t xml:space="preserve">24-01-25</t>
  </si>
  <si>
    <t xml:space="preserve">ORD-10672</t>
  </si>
  <si>
    <t xml:space="preserve">ORD-10134</t>
  </si>
  <si>
    <t xml:space="preserve">ORD-10394</t>
  </si>
  <si>
    <t xml:space="preserve">ORD-10618</t>
  </si>
  <si>
    <t xml:space="preserve">01-10-25</t>
  </si>
  <si>
    <t xml:space="preserve">ORD-10723</t>
  </si>
  <si>
    <t xml:space="preserve">11/10/2025</t>
  </si>
  <si>
    <t xml:space="preserve">ORD-10752</t>
  </si>
  <si>
    <t xml:space="preserve">ORD-10770</t>
  </si>
  <si>
    <t xml:space="preserve">23-11-25</t>
  </si>
  <si>
    <t xml:space="preserve">ORD-10569</t>
  </si>
  <si>
    <t xml:space="preserve">2025-09-10</t>
  </si>
  <si>
    <t xml:space="preserve">ORD-10183</t>
  </si>
  <si>
    <t xml:space="preserve">ORD-10382</t>
  </si>
  <si>
    <t xml:space="preserve">ORD-10712</t>
  </si>
  <si>
    <t xml:space="preserve">ORD-10724</t>
  </si>
  <si>
    <t xml:space="preserve">ORD-10124</t>
  </si>
  <si>
    <t xml:space="preserve">ORD-10465</t>
  </si>
  <si>
    <t xml:space="preserve">08/02/2025</t>
  </si>
  <si>
    <t xml:space="preserve">ORD-10801</t>
  </si>
  <si>
    <t xml:space="preserve">ORD-10768</t>
  </si>
  <si>
    <t xml:space="preserve">11/23/2025</t>
  </si>
  <si>
    <t xml:space="preserve">ORD-10430</t>
  </si>
  <si>
    <t xml:space="preserve">15 Jul 2025</t>
  </si>
  <si>
    <t xml:space="preserve">ORD-10534</t>
  </si>
  <si>
    <t xml:space="preserve">ORD-10881</t>
  </si>
  <si>
    <t xml:space="preserve">ORD-10632</t>
  </si>
  <si>
    <t xml:space="preserve">ORD-10079</t>
  </si>
  <si>
    <t xml:space="preserve">07 Feb 2025</t>
  </si>
  <si>
    <t xml:space="preserve">ORD-10435</t>
  </si>
  <si>
    <t xml:space="preserve">ORD-10831</t>
  </si>
  <si>
    <t xml:space="preserve">ORD-10462</t>
  </si>
  <si>
    <t xml:space="preserve">ORD-10195</t>
  </si>
  <si>
    <t xml:space="preserve">ORD-10849</t>
  </si>
  <si>
    <t xml:space="preserve">ORD-10627</t>
  </si>
  <si>
    <t xml:space="preserve">ORD-10437</t>
  </si>
  <si>
    <t xml:space="preserve">18 Jul 2025</t>
  </si>
  <si>
    <t xml:space="preserve">ORD-10628</t>
  </si>
  <si>
    <t xml:space="preserve">ORD-10856</t>
  </si>
  <si>
    <t xml:space="preserve">ORD-10068</t>
  </si>
  <si>
    <t xml:space="preserve">02 Feb 2025</t>
  </si>
  <si>
    <t xml:space="preserve">ORD-10298</t>
  </si>
  <si>
    <t xml:space="preserve">05/22/2025</t>
  </si>
  <si>
    <t xml:space="preserve">ORD-10584</t>
  </si>
  <si>
    <t xml:space="preserve">ORD-10158</t>
  </si>
  <si>
    <t xml:space="preserve">21 Mar 2025</t>
  </si>
  <si>
    <t xml:space="preserve">ORD-10548</t>
  </si>
  <si>
    <t xml:space="preserve">ORD-10776</t>
  </si>
  <si>
    <t xml:space="preserve">25 Nov 2025</t>
  </si>
  <si>
    <t xml:space="preserve">ORD-10305</t>
  </si>
  <si>
    <t xml:space="preserve">ORD-10340</t>
  </si>
  <si>
    <t xml:space="preserve">ORD-10055</t>
  </si>
  <si>
    <t xml:space="preserve">ORD-10756</t>
  </si>
  <si>
    <t xml:space="preserve">ORD-10499</t>
  </si>
  <si>
    <t xml:space="preserve">ORD-10602</t>
  </si>
  <si>
    <t xml:space="preserve">ORD-10228</t>
  </si>
  <si>
    <t xml:space="preserve">24 Apr 2025</t>
  </si>
  <si>
    <t xml:space="preserve">ORD-10118</t>
  </si>
  <si>
    <t xml:space="preserve">03/01/2025</t>
  </si>
  <si>
    <t xml:space="preserve">ORD-10515</t>
  </si>
  <si>
    <t xml:space="preserve">Order ID</t>
  </si>
  <si>
    <t xml:space="preserve">Date</t>
  </si>
  <si>
    <t xml:space="preserve">Month</t>
  </si>
  <si>
    <t xml:space="preserve">Customer</t>
  </si>
  <si>
    <t xml:space="preserve">Product</t>
  </si>
  <si>
    <t xml:space="preserve">Units</t>
  </si>
  <si>
    <t xml:space="preserve">Unit Price</t>
  </si>
  <si>
    <t xml:space="preserve">Unit Cost</t>
  </si>
  <si>
    <t xml:space="preserve">Revenue</t>
  </si>
  <si>
    <t xml:space="preserve">Profit</t>
  </si>
  <si>
    <t xml:space="preserve">Status</t>
  </si>
  <si>
    <t xml:space="preserve">Region criteria</t>
  </si>
  <si>
    <t xml:space="preserve">Category criteria</t>
  </si>
  <si>
    <t xml:space="preserve">Net revenue</t>
  </si>
  <si>
    <t xml:space="preserve">Month no.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</si>
  <si>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</si>
  <si>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</si>
  <si>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</si>
  <si>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</si>
  <si>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</si>
  <si>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</si>
  <si>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</si>
  <si>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</si>
  <si>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</si>
  <si>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</si>
  <si>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</si>
  <si>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</si>
  <si>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Rank helper</t>
  </si>
  <si>
    <t xml:space="preserve">Rank</t>
  </si>
  <si>
    <t xml:space="preserve">Top products</t>
  </si>
  <si>
    <t xml:space="preserve">These tables feed the Dashboard charts. They recalculate when the Region and Category selectors change. Only Delivered orders count as revenue.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</si>
</sst>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#,##0"/>
    <numFmt numFmtId="168" formatCode="\$#,##0.00"/>
    <numFmt numFmtId="169" formatCode="General"/>
    <numFmt numFmtId="170" formatCode="yyyy\-mm\-dd"/>
    <numFmt numFmtId="171" formatCode="dd\ mmm\ yyyy"/>
    <numFmt numFmtId="172" formatCode="0.00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B9C3E6"/>
      <name val="Arial"/>
      <family val="0"/>
      <charset val="1"/>
    </font>
    <font>
      <b val="true"/>
      <sz val="11"/>
      <color rgb="FF1B2545"/>
      <name val="Arial"/>
      <family val="0"/>
      <charset val="1"/>
    </font>
    <font>
      <b val="true"/>
      <sz val="11"/>
      <color rgb="FF0E1B3D"/>
      <name val="Arial"/>
      <family val="0"/>
      <charset val="1"/>
    </font>
    <font>
      <i val="true"/>
      <sz val="9"/>
      <color rgb="FF666677"/>
      <name val="Arial"/>
      <family val="0"/>
      <charset val="1"/>
    </font>
    <font>
      <b val="true"/>
      <sz val="9"/>
      <color rgb="FF666677"/>
      <name val="Arial"/>
      <family val="0"/>
      <charset val="1"/>
    </font>
    <font>
      <b val="true"/>
      <sz val="20"/>
      <color rgb="FF0E1B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0E1B3D"/>
      <name val="Arial"/>
      <family val="0"/>
      <charset val="1"/>
    </font>
    <font>
      <i val="true"/>
      <sz val="10"/>
      <color rgb="FF6666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E1B3D"/>
        <bgColor rgb="FF1B2545"/>
      </patternFill>
    </fill>
    <fill>
      <patternFill patternType="solid">
        <fgColor rgb="FFEEF1F8"/>
        <bgColor rgb="FFFFFFFF"/>
      </patternFill>
    </fill>
    <fill>
      <patternFill patternType="solid">
        <fgColor rgb="FFFFE3D3"/>
        <bgColor rgb="FFEEF1F8"/>
      </patternFill>
    </fill>
    <fill>
      <patternFill patternType="solid">
        <fgColor rgb="FFFFFFFF"/>
        <bgColor rgb="FFEEF1F8"/>
      </patternFill>
    </fill>
    <fill>
      <patternFill patternType="solid">
        <fgColor rgb="FF7A2E3A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FF9A62"/>
      </left>
      <right style="medium">
        <color rgb="FFFF9A62"/>
      </right>
      <top style="medium">
        <color rgb="FFFF9A62"/>
      </top>
      <bottom style="medium">
        <color rgb="FFFF9A62"/>
      </bottom>
      <diagonal/>
    </border>
    <border diagonalUp="false" diagonalDown="false">
      <left style="thin">
        <color rgb="FFD5DAEA"/>
      </left>
      <right style="thin">
        <color rgb="FFD5DAEA"/>
      </right>
      <top style="thick">
        <color rgb="FF7C6CF0"/>
      </top>
      <bottom/>
      <diagonal/>
    </border>
    <border diagonalUp="false" diagonalDown="false">
      <left style="thin">
        <color rgb="FFD5DAEA"/>
      </left>
      <right style="thin">
        <color rgb="FFD5DAEA"/>
      </right>
      <top style="thick">
        <color rgb="FFFFFFFF"/>
      </top>
      <bottom style="thin">
        <color rgb="FFD5DAEA"/>
      </bottom>
      <diagonal/>
    </border>
    <border diagonalUp="false" diagonalDown="false">
      <left/>
      <right/>
      <top/>
      <bottom style="thin">
        <color rgb="FFD5DA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E1B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3E6"/>
      <rgbColor rgb="FF878787"/>
      <rgbColor rgb="FF7C6CF0"/>
      <rgbColor rgb="FF7A2E3A"/>
      <rgbColor rgb="FFEEF1F8"/>
      <rgbColor rgb="FFCCFFFF"/>
      <rgbColor rgb="FF660066"/>
      <rgbColor rgb="FFFF9A62"/>
      <rgbColor rgb="FF0066CC"/>
      <rgbColor rgb="FFD5DA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E3D3"/>
      <rgbColor rgb="FF3366FF"/>
      <rgbColor rgb="FF3FB6A8"/>
      <rgbColor rgb="FF99CC00"/>
      <rgbColor rgb="FFFFCC00"/>
      <rgbColor rgb="FFFF9900"/>
      <rgbColor rgb="FFFF6600"/>
      <rgbColor rgb="FF666677"/>
      <rgbColor rgb="FF969696"/>
      <rgbColor rgb="FF0E1B3D"/>
      <rgbColor rgb="FF339966"/>
      <rgbColor rgb="FF003300"/>
      <rgbColor rgb="FF333300"/>
      <rgbColor rgb="FF993300"/>
      <rgbColor rgb="FF993366"/>
      <rgbColor rgb="FF333399"/>
      <rgbColor rgb="FF1B25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and gross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Summary!B5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7c6cf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Summary!$B$6:$B$17</c:f>
              <c:numCache>
                <c:formatCode>\$#,##0</c:formatCode>
                <c:ptCount val="12"/>
                <c:pt idx="0">
                  <c:v>3639</c:v>
                </c:pt>
                <c:pt idx="1">
                  <c:v>2364</c:v>
                </c:pt>
                <c:pt idx="2">
                  <c:v>3588</c:v>
                </c:pt>
                <c:pt idx="3">
                  <c:v>2728</c:v>
                </c:pt>
                <c:pt idx="4">
                  <c:v>4135</c:v>
                </c:pt>
                <c:pt idx="5">
                  <c:v>4412</c:v>
                </c:pt>
                <c:pt idx="6">
                  <c:v>2876</c:v>
                </c:pt>
                <c:pt idx="7">
                  <c:v>4419</c:v>
                </c:pt>
                <c:pt idx="8">
                  <c:v>3685</c:v>
                </c:pt>
                <c:pt idx="9">
                  <c:v>4236</c:v>
                </c:pt>
                <c:pt idx="10">
                  <c:v>5262</c:v>
                </c:pt>
                <c:pt idx="11">
                  <c:v>5016</c:v>
                </c:pt>
              </c:numCache>
            </c:numRef>
          </c:val>
        </c:ser>
        <c:gapWidth val="60"/>
        <c:overlap val="0"/>
        <c:axId val="20366782"/>
        <c:axId val="12595250"/>
      </c:barChart>
      <c:lineChart>
        <c:grouping val="standard"/>
        <c:varyColors val="0"/>
        <c:ser>
          <c:idx val="1"/>
          <c:order val="1"/>
          <c:tx>
            <c:strRef>
              <c:f>Summary!C5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ff9a62"/>
            </a:solidFill>
            <a:ln w="28080">
              <a:solidFill>
                <a:srgbClr val="ff9a6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Summary!$C$6:$C$17</c:f>
              <c:numCache>
                <c:formatCode>\$#,##0</c:formatCode>
                <c:ptCount val="12"/>
                <c:pt idx="0">
                  <c:v>2185</c:v>
                </c:pt>
                <c:pt idx="1">
                  <c:v>1449</c:v>
                </c:pt>
                <c:pt idx="2">
                  <c:v>2131</c:v>
                </c:pt>
                <c:pt idx="3">
                  <c:v>1648</c:v>
                </c:pt>
                <c:pt idx="4">
                  <c:v>2475</c:v>
                </c:pt>
                <c:pt idx="5">
                  <c:v>2641</c:v>
                </c:pt>
                <c:pt idx="6">
                  <c:v>1732</c:v>
                </c:pt>
                <c:pt idx="7">
                  <c:v>2629</c:v>
                </c:pt>
                <c:pt idx="8">
                  <c:v>2243</c:v>
                </c:pt>
                <c:pt idx="9">
                  <c:v>2521</c:v>
                </c:pt>
                <c:pt idx="10">
                  <c:v>3188</c:v>
                </c:pt>
                <c:pt idx="11">
                  <c:v>3021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366782"/>
        <c:axId val="12595250"/>
      </c:lineChart>
      <c:catAx>
        <c:axId val="20366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95250"/>
        <c:crosses val="autoZero"/>
        <c:auto val="1"/>
        <c:lblAlgn val="ctr"/>
        <c:lblOffset val="100"/>
        <c:noMultiLvlLbl val="0"/>
      </c:catAx>
      <c:valAx>
        <c:axId val="1259525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667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Summary!H5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7c6cf0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Summary!$G$6:$G$10</c:f>
              <c:strCache>
                <c:ptCount val="5"/>
                <c:pt idx="0">
                  <c:v>Electronics</c:v>
                </c:pt>
                <c:pt idx="1">
                  <c:v>Home</c:v>
                </c:pt>
                <c:pt idx="2">
                  <c:v>Beauty</c:v>
                </c:pt>
                <c:pt idx="3">
                  <c:v>Fashion</c:v>
                </c:pt>
                <c:pt idx="4">
                  <c:v>Fitness</c:v>
                </c:pt>
              </c:strCache>
            </c:strRef>
          </c:cat>
          <c:val>
            <c:numRef>
              <c:f>Summary!$H$6:$H$10</c:f>
              <c:numCache>
                <c:formatCode>\$#,##0</c:formatCode>
                <c:ptCount val="5"/>
                <c:pt idx="0">
                  <c:v>14402</c:v>
                </c:pt>
                <c:pt idx="1">
                  <c:v>8768</c:v>
                </c:pt>
                <c:pt idx="2">
                  <c:v>9536</c:v>
                </c:pt>
                <c:pt idx="3">
                  <c:v>9216</c:v>
                </c:pt>
                <c:pt idx="4">
                  <c:v>4438</c:v>
                </c:pt>
              </c:numCache>
            </c:numRef>
          </c:val>
        </c:ser>
        <c:gapWidth val="50"/>
        <c:overlap val="0"/>
        <c:axId val="84349558"/>
        <c:axId val="63148794"/>
      </c:barChart>
      <c:catAx>
        <c:axId val="8434955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48794"/>
        <c:crosses val="autoZero"/>
        <c:auto val="1"/>
        <c:lblAlgn val="ctr"/>
        <c:lblOffset val="100"/>
        <c:noMultiLvlLbl val="0"/>
      </c:catAx>
      <c:valAx>
        <c:axId val="63148794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495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Summary!L5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ff9a62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Summary!$K$6:$K$10</c:f>
              <c:strCache>
                <c:ptCount val="5"/>
                <c:pt idx="0">
                  <c:v>USA</c:v>
                </c:pt>
                <c:pt idx="1">
                  <c:v>UK</c:v>
                </c:pt>
                <c:pt idx="2">
                  <c:v>Canada</c:v>
                </c:pt>
                <c:pt idx="3">
                  <c:v>UAE</c:v>
                </c:pt>
                <c:pt idx="4">
                  <c:v>Australia</c:v>
                </c:pt>
              </c:strCache>
            </c:strRef>
          </c:cat>
          <c:val>
            <c:numRef>
              <c:f>Summary!$L$6:$L$10</c:f>
              <c:numCache>
                <c:formatCode>\$#,##0</c:formatCode>
                <c:ptCount val="5"/>
                <c:pt idx="0">
                  <c:v>18131</c:v>
                </c:pt>
                <c:pt idx="1">
                  <c:v>8031</c:v>
                </c:pt>
                <c:pt idx="2">
                  <c:v>7902</c:v>
                </c:pt>
                <c:pt idx="3">
                  <c:v>6650</c:v>
                </c:pt>
                <c:pt idx="4">
                  <c:v>5646</c:v>
                </c:pt>
              </c:numCache>
            </c:numRef>
          </c:val>
        </c:ser>
        <c:gapWidth val="50"/>
        <c:overlap val="0"/>
        <c:axId val="55805182"/>
        <c:axId val="5204417"/>
      </c:barChart>
      <c:catAx>
        <c:axId val="5580518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4417"/>
        <c:crosses val="autoZero"/>
        <c:auto val="1"/>
        <c:lblAlgn val="ctr"/>
        <c:lblOffset val="100"/>
        <c:noMultiLvlLbl val="0"/>
      </c:catAx>
      <c:valAx>
        <c:axId val="5204417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051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Summary!I21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3fb6a8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Summary!$H$22:$H$26</c:f>
              <c:strCache>
                <c:ptCount val="5"/>
                <c:pt idx="0">
                  <c:v>Smart Watch</c:v>
                </c:pt>
                <c:pt idx="1">
                  <c:v>Hair Dryer</c:v>
                </c:pt>
                <c:pt idx="2">
                  <c:v>Wireless Earbuds</c:v>
                </c:pt>
                <c:pt idx="3">
                  <c:v>Leather Wallet</c:v>
                </c:pt>
                <c:pt idx="4">
                  <c:v>LED Desk Lamp</c:v>
                </c:pt>
              </c:strCache>
            </c:strRef>
          </c:cat>
          <c:val>
            <c:numRef>
              <c:f>Summary!$I$22:$I$26</c:f>
              <c:numCache>
                <c:formatCode>\$#,##0</c:formatCode>
                <c:ptCount val="5"/>
                <c:pt idx="0">
                  <c:v>7832</c:v>
                </c:pt>
                <c:pt idx="1">
                  <c:v>5562</c:v>
                </c:pt>
                <c:pt idx="2">
                  <c:v>5145</c:v>
                </c:pt>
                <c:pt idx="3">
                  <c:v>4230</c:v>
                </c:pt>
                <c:pt idx="4">
                  <c:v>3800</c:v>
                </c:pt>
              </c:numCache>
            </c:numRef>
          </c:val>
        </c:ser>
        <c:gapWidth val="50"/>
        <c:overlap val="0"/>
        <c:axId val="70914114"/>
        <c:axId val="17334537"/>
      </c:barChart>
      <c:catAx>
        <c:axId val="7091411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34537"/>
        <c:crosses val="autoZero"/>
        <c:auto val="1"/>
        <c:lblAlgn val="ctr"/>
        <c:lblOffset val="100"/>
        <c:noMultiLvlLbl val="0"/>
      </c:catAx>
      <c:valAx>
        <c:axId val="17334537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141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12</xdr:col>
      <xdr:colOff>900360</xdr:colOff>
      <xdr:row>28</xdr:row>
      <xdr:rowOff>11880</xdr:rowOff>
    </xdr:to>
    <xdr:graphicFrame>
      <xdr:nvGraphicFramePr>
        <xdr:cNvPr id="0" name="Chart 1"/>
        <xdr:cNvGraphicFramePr/>
      </xdr:nvGraphicFramePr>
      <xdr:xfrm>
        <a:off x="141120" y="2695680"/>
        <a:ext cx="109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5</xdr:col>
      <xdr:colOff>6480</xdr:colOff>
      <xdr:row>45</xdr:row>
      <xdr:rowOff>22320</xdr:rowOff>
    </xdr:to>
    <xdr:graphicFrame>
      <xdr:nvGraphicFramePr>
        <xdr:cNvPr id="1" name="Chart 2"/>
        <xdr:cNvGraphicFramePr/>
      </xdr:nvGraphicFramePr>
      <xdr:xfrm>
        <a:off x="141120" y="6124680"/>
        <a:ext cx="36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30</xdr:row>
      <xdr:rowOff>0</xdr:rowOff>
    </xdr:from>
    <xdr:to>
      <xdr:col>9</xdr:col>
      <xdr:colOff>6480</xdr:colOff>
      <xdr:row>45</xdr:row>
      <xdr:rowOff>22320</xdr:rowOff>
    </xdr:to>
    <xdr:graphicFrame>
      <xdr:nvGraphicFramePr>
        <xdr:cNvPr id="2" name="Chart 3"/>
        <xdr:cNvGraphicFramePr/>
      </xdr:nvGraphicFramePr>
      <xdr:xfrm>
        <a:off x="3806280" y="6124680"/>
        <a:ext cx="36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13</xdr:col>
      <xdr:colOff>6480</xdr:colOff>
      <xdr:row>45</xdr:row>
      <xdr:rowOff>22320</xdr:rowOff>
    </xdr:to>
    <xdr:graphicFrame>
      <xdr:nvGraphicFramePr>
        <xdr:cNvPr id="3" name="Chart 4"/>
        <xdr:cNvGraphicFramePr/>
      </xdr:nvGraphicFramePr>
      <xdr:xfrm>
        <a:off x="7471440" y="6124680"/>
        <a:ext cx="36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  <col collapsed="false" customWidth="true" hidden="false" outlineLevel="0" max="14" min="14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4"/>
      <c r="B5" s="5" t="s">
        <v>2</v>
      </c>
      <c r="C5" s="6" t="s">
        <v>3</v>
      </c>
      <c r="D5" s="4"/>
      <c r="E5" s="4"/>
      <c r="F5" s="5" t="s">
        <v>4</v>
      </c>
      <c r="G5" s="6" t="s">
        <v>3</v>
      </c>
      <c r="H5" s="4"/>
      <c r="I5" s="7" t="s">
        <v>5</v>
      </c>
      <c r="J5" s="4"/>
      <c r="K5" s="4"/>
      <c r="L5" s="4"/>
      <c r="M5" s="4"/>
      <c r="N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4"/>
      <c r="B8" s="8" t="s">
        <v>6</v>
      </c>
      <c r="C8" s="8"/>
      <c r="D8" s="8" t="s">
        <v>7</v>
      </c>
      <c r="E8" s="8"/>
      <c r="F8" s="8" t="s">
        <v>8</v>
      </c>
      <c r="G8" s="8"/>
      <c r="H8" s="8" t="s">
        <v>9</v>
      </c>
      <c r="I8" s="8"/>
      <c r="J8" s="8" t="s">
        <v>10</v>
      </c>
      <c r="K8" s="8"/>
      <c r="L8" s="8" t="s">
        <v>11</v>
      </c>
      <c r="M8" s="8"/>
      <c r="N8" s="4"/>
    </row>
    <row r="9" customFormat="false" ht="21.75" hidden="false" customHeight="true" outlineLevel="0" collapsed="false">
      <c r="A9" s="4"/>
      <c r="B9" s="9" t="n">
        <f aca="false">SUMIFS(Data!$K$2:$K$901,Data!$M$2:$M$901,"Delivered",Data!$E$2:$E$901,Summary!$B$1,Data!$F$2:$F$901,Summary!$B$2)</f>
        <v>46360</v>
      </c>
      <c r="C9" s="9"/>
      <c r="D9" s="9" t="n">
        <f aca="false">SUMIFS(Data!$L$2:$L$901,Data!$M$2:$M$901,"Delivered",Data!$E$2:$E$901,Summary!$B$1,Data!$F$2:$F$901,Summary!$B$2)</f>
        <v>27863</v>
      </c>
      <c r="E9" s="9"/>
      <c r="F9" s="10" t="n">
        <f aca="false">IFERROR(SUMIFS(Data!$L$2:$L$901,Data!$M$2:$M$901,"Delivered",Data!$E$2:$E$901,Summary!$B$1,Data!$F$2:$F$901,Summary!$B$2)/SUMIFS(Data!$K$2:$K$901,Data!$M$2:$M$901,"Delivered",Data!$E$2:$E$901,Summary!$B$1,Data!$F$2:$F$901,Summary!$B$2),0)</f>
        <v>0.601013805004314</v>
      </c>
      <c r="G9" s="10"/>
      <c r="H9" s="11" t="n">
        <f aca="false">COUNTIFS(Data!$M$2:$M$901,"Delivered",Data!$E$2:$E$901,Summary!$B$1,Data!$F$2:$F$901,Summary!$B$2)</f>
        <v>845</v>
      </c>
      <c r="I9" s="11"/>
      <c r="J9" s="12" t="n">
        <f aca="false">IFERROR(SUMIFS(Data!$K$2:$K$901,Data!$M$2:$M$901,"Delivered",Data!$E$2:$E$901,Summary!$B$1,Data!$F$2:$F$901,Summary!$B$2)/COUNTIFS(Data!$M$2:$M$901,"Delivered",Data!$E$2:$E$901,Summary!$B$1,Data!$F$2:$F$901,Summary!$B$2),0)</f>
        <v>54.8639053254438</v>
      </c>
      <c r="K9" s="12"/>
      <c r="L9" s="10" t="n">
        <f aca="false">IFERROR(COUNTIFS(Data!$M$2:$M$901,"Returned",Data!$E$2:$E$901,Summary!$B$1,Data!$F$2:$F$901,Summary!$B$2)/COUNTIFS(Data!$A$2:$A$901,"&lt;&gt;",Data!$E$2:$E$901,Summary!$B$1,Data!$F$2:$F$901,Summary!$B$2),0)</f>
        <v>0.0611111111111111</v>
      </c>
      <c r="M9" s="10"/>
      <c r="N9" s="4"/>
    </row>
    <row r="10" customFormat="false" ht="21.75" hidden="false" customHeight="true" outlineLevel="0" collapsed="false">
      <c r="A10" s="4"/>
      <c r="B10" s="9"/>
      <c r="C10" s="9"/>
      <c r="D10" s="9"/>
      <c r="E10" s="9"/>
      <c r="F10" s="10"/>
      <c r="G10" s="10"/>
      <c r="H10" s="11"/>
      <c r="I10" s="11"/>
      <c r="J10" s="12"/>
      <c r="K10" s="12"/>
      <c r="L10" s="10"/>
      <c r="M10" s="10"/>
      <c r="N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customFormat="false" ht="15" hidden="false" customHeight="false" outlineLevel="0" collapsed="false">
      <c r="A47" s="4"/>
      <c r="B47" s="7" t="s">
        <v>12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</sheetData>
  <mergeCells count="12">
    <mergeCell ref="B8:C8"/>
    <mergeCell ref="D8:E8"/>
    <mergeCell ref="F8:G8"/>
    <mergeCell ref="H8:I8"/>
    <mergeCell ref="J8:K8"/>
    <mergeCell ref="L8:M8"/>
    <mergeCell ref="B9:C10"/>
    <mergeCell ref="D9:E10"/>
    <mergeCell ref="F9:G10"/>
    <mergeCell ref="H9:I10"/>
    <mergeCell ref="J9:K10"/>
    <mergeCell ref="L9:M10"/>
  </mergeCells>
  <dataValidations count="2">
    <dataValidation allowBlank="false" errorStyle="stop" operator="between" showDropDown="false" showErrorMessage="false" showInputMessage="false" sqref="C5" type="list">
      <formula1>"All,USA,UK,Canada,UAE,Australia"</formula1>
      <formula2>0</formula2>
    </dataValidation>
    <dataValidation allowBlank="false" errorStyle="stop" operator="between" showDropDown="false" showErrorMessage="false" showInputMessage="false" sqref="G5" type="list">
      <formula1>"All,Electronics,Home,Beauty,Fashion,Fitness"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58"/>
  </cols>
  <sheetData>
    <row r="2" customFormat="false" ht="22.05" hidden="false" customHeight="false" outlineLevel="0" collapsed="false">
      <c r="B2" s="13" t="s">
        <v>13</v>
      </c>
    </row>
    <row r="3" customFormat="false" ht="15" hidden="false" customHeight="false" outlineLevel="0" collapsed="false">
      <c r="B3" s="14" t="s">
        <v>14</v>
      </c>
    </row>
    <row r="5" customFormat="false" ht="15" hidden="false" customHeight="false" outlineLevel="0" collapsed="false">
      <c r="B5" s="15" t="s">
        <v>15</v>
      </c>
      <c r="C5" s="15" t="s">
        <v>16</v>
      </c>
      <c r="D5" s="15" t="s">
        <v>17</v>
      </c>
    </row>
    <row r="6" customFormat="false" ht="15" hidden="false" customHeight="false" outlineLevel="0" collapsed="false">
      <c r="B6" s="16" t="s">
        <v>18</v>
      </c>
      <c r="C6" s="17" t="n">
        <f aca="false">COUNTA('Raw Data'!A:A)-1</f>
        <v>945</v>
      </c>
      <c r="D6" s="16" t="s">
        <v>19</v>
      </c>
    </row>
    <row r="7" customFormat="false" ht="15" hidden="false" customHeight="false" outlineLevel="0" collapsed="false">
      <c r="B7" s="16" t="s">
        <v>20</v>
      </c>
      <c r="C7" s="17" t="n">
        <v>45</v>
      </c>
      <c r="D7" s="16" t="s">
        <v>21</v>
      </c>
    </row>
    <row r="8" customFormat="false" ht="15" hidden="false" customHeight="false" outlineLevel="0" collapsed="false">
      <c r="B8" s="16" t="s">
        <v>22</v>
      </c>
      <c r="C8" s="17" t="n">
        <v>703</v>
      </c>
      <c r="D8" s="16" t="s">
        <v>23</v>
      </c>
    </row>
    <row r="9" customFormat="false" ht="15" hidden="false" customHeight="false" outlineLevel="0" collapsed="false">
      <c r="B9" s="16" t="s">
        <v>24</v>
      </c>
      <c r="C9" s="17" t="n">
        <v>518</v>
      </c>
      <c r="D9" s="16" t="s">
        <v>25</v>
      </c>
    </row>
    <row r="10" customFormat="false" ht="15" hidden="false" customHeight="false" outlineLevel="0" collapsed="false">
      <c r="B10" s="16" t="s">
        <v>26</v>
      </c>
      <c r="C10" s="17" t="n">
        <v>221</v>
      </c>
      <c r="D10" s="16" t="s">
        <v>27</v>
      </c>
    </row>
    <row r="11" customFormat="false" ht="15" hidden="false" customHeight="false" outlineLevel="0" collapsed="false">
      <c r="B11" s="16" t="s">
        <v>28</v>
      </c>
      <c r="C11" s="17" t="n">
        <v>36</v>
      </c>
      <c r="D11" s="16" t="s">
        <v>29</v>
      </c>
    </row>
    <row r="12" customFormat="false" ht="15" hidden="false" customHeight="false" outlineLevel="0" collapsed="false">
      <c r="B12" s="16" t="s">
        <v>30</v>
      </c>
      <c r="C12" s="17" t="n">
        <f aca="false">COUNTA(Data!A:A)-1</f>
        <v>900</v>
      </c>
      <c r="D12" s="16" t="s">
        <v>31</v>
      </c>
    </row>
    <row r="13" customFormat="false" ht="15" hidden="false" customHeight="false" outlineLevel="0" collapsed="false">
      <c r="B13" s="16" t="s">
        <v>32</v>
      </c>
      <c r="C13" s="17" t="n">
        <f aca="false">C6-C12</f>
        <v>45</v>
      </c>
      <c r="D13" s="16" t="s">
        <v>33</v>
      </c>
    </row>
    <row r="15" customFormat="false" ht="15" hidden="false" customHeight="false" outlineLevel="0" collapsed="false">
      <c r="B15" s="1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9" t="s">
        <v>35</v>
      </c>
      <c r="B1" s="19" t="s">
        <v>36</v>
      </c>
      <c r="C1" s="19" t="s">
        <v>37</v>
      </c>
      <c r="D1" s="19" t="s">
        <v>38</v>
      </c>
      <c r="E1" s="19" t="s">
        <v>39</v>
      </c>
      <c r="F1" s="19" t="s">
        <v>40</v>
      </c>
      <c r="G1" s="19" t="s">
        <v>41</v>
      </c>
      <c r="H1" s="19" t="s">
        <v>42</v>
      </c>
      <c r="I1" s="19" t="s">
        <v>43</v>
      </c>
    </row>
    <row r="2" customFormat="false" ht="15" hidden="false" customHeight="false" outlineLevel="0" collapsed="false">
      <c r="A2" s="20" t="s">
        <v>44</v>
      </c>
      <c r="B2" s="20" t="s">
        <v>45</v>
      </c>
      <c r="C2" s="20" t="s">
        <v>46</v>
      </c>
      <c r="D2" s="20" t="s">
        <v>47</v>
      </c>
      <c r="E2" s="20" t="s">
        <v>48</v>
      </c>
      <c r="F2" s="20" t="s">
        <v>49</v>
      </c>
      <c r="G2" s="20" t="n">
        <v>2</v>
      </c>
      <c r="H2" s="20" t="n">
        <v>18</v>
      </c>
      <c r="I2" s="20" t="s">
        <v>50</v>
      </c>
    </row>
    <row r="3" customFormat="false" ht="15" hidden="false" customHeight="false" outlineLevel="0" collapsed="false">
      <c r="A3" s="20" t="s">
        <v>51</v>
      </c>
      <c r="B3" s="21" t="n">
        <v>45658</v>
      </c>
      <c r="C3" s="20" t="s">
        <v>52</v>
      </c>
      <c r="D3" s="20" t="s">
        <v>53</v>
      </c>
      <c r="E3" s="20" t="s">
        <v>54</v>
      </c>
      <c r="F3" s="20" t="s">
        <v>55</v>
      </c>
      <c r="G3" s="20" t="n">
        <v>1</v>
      </c>
      <c r="H3" s="20" t="n">
        <v>38</v>
      </c>
      <c r="I3" s="20" t="s">
        <v>50</v>
      </c>
    </row>
    <row r="4" customFormat="false" ht="15" hidden="false" customHeight="false" outlineLevel="0" collapsed="false">
      <c r="A4" s="20" t="s">
        <v>56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n">
        <v>1</v>
      </c>
      <c r="H4" s="20" t="n">
        <v>35</v>
      </c>
      <c r="I4" s="20" t="s">
        <v>50</v>
      </c>
    </row>
    <row r="5" customFormat="false" ht="15" hidden="false" customHeight="false" outlineLevel="0" collapsed="false">
      <c r="A5" s="20" t="s">
        <v>62</v>
      </c>
      <c r="B5" s="20" t="s">
        <v>63</v>
      </c>
      <c r="C5" s="20" t="s">
        <v>64</v>
      </c>
      <c r="D5" s="20" t="s">
        <v>65</v>
      </c>
      <c r="E5" s="20" t="s">
        <v>66</v>
      </c>
      <c r="F5" s="20" t="s">
        <v>67</v>
      </c>
      <c r="G5" s="20" t="n">
        <v>1</v>
      </c>
      <c r="H5" s="20" t="n">
        <v>45</v>
      </c>
      <c r="I5" s="20" t="s">
        <v>50</v>
      </c>
    </row>
    <row r="6" customFormat="false" ht="15" hidden="false" customHeight="false" outlineLevel="0" collapsed="false">
      <c r="A6" s="20" t="s">
        <v>68</v>
      </c>
      <c r="B6" s="21" t="n">
        <v>45945</v>
      </c>
      <c r="C6" s="20" t="s">
        <v>69</v>
      </c>
      <c r="D6" s="20" t="s">
        <v>70</v>
      </c>
      <c r="E6" s="20" t="s">
        <v>71</v>
      </c>
      <c r="F6" s="20" t="s">
        <v>72</v>
      </c>
      <c r="G6" s="20" t="n">
        <v>1</v>
      </c>
      <c r="H6" s="20" t="n">
        <v>24</v>
      </c>
      <c r="I6" s="20" t="s">
        <v>50</v>
      </c>
    </row>
    <row r="7" customFormat="false" ht="15" hidden="false" customHeight="false" outlineLevel="0" collapsed="false">
      <c r="A7" s="20" t="s">
        <v>73</v>
      </c>
      <c r="B7" s="20" t="s">
        <v>74</v>
      </c>
      <c r="C7" s="20" t="s">
        <v>75</v>
      </c>
      <c r="D7" s="20" t="s">
        <v>59</v>
      </c>
      <c r="E7" s="20" t="s">
        <v>54</v>
      </c>
      <c r="F7" s="20" t="s">
        <v>76</v>
      </c>
      <c r="G7" s="20" t="n">
        <v>2</v>
      </c>
      <c r="H7" s="20" t="s">
        <v>77</v>
      </c>
      <c r="I7" s="20" t="s">
        <v>50</v>
      </c>
    </row>
    <row r="8" customFormat="false" ht="15" hidden="false" customHeight="false" outlineLevel="0" collapsed="false">
      <c r="A8" s="20" t="s">
        <v>78</v>
      </c>
      <c r="B8" s="20" t="s">
        <v>79</v>
      </c>
      <c r="C8" s="20" t="s">
        <v>80</v>
      </c>
      <c r="D8" s="20" t="s">
        <v>47</v>
      </c>
      <c r="E8" s="20" t="s">
        <v>81</v>
      </c>
      <c r="F8" s="20" t="s">
        <v>82</v>
      </c>
      <c r="G8" s="20" t="n">
        <v>1</v>
      </c>
      <c r="H8" s="20" t="n">
        <v>22</v>
      </c>
      <c r="I8" s="20" t="s">
        <v>50</v>
      </c>
    </row>
    <row r="9" customFormat="false" ht="15" hidden="false" customHeight="false" outlineLevel="0" collapsed="false">
      <c r="A9" s="20" t="s">
        <v>83</v>
      </c>
      <c r="B9" s="20" t="s">
        <v>84</v>
      </c>
      <c r="C9" s="20" t="s">
        <v>64</v>
      </c>
      <c r="D9" s="20" t="s">
        <v>59</v>
      </c>
      <c r="E9" s="20" t="s">
        <v>54</v>
      </c>
      <c r="F9" s="20" t="s">
        <v>72</v>
      </c>
      <c r="G9" s="20" t="n">
        <v>1</v>
      </c>
      <c r="H9" s="20" t="n">
        <v>24</v>
      </c>
      <c r="I9" s="20" t="s">
        <v>50</v>
      </c>
    </row>
    <row r="10" customFormat="false" ht="15" hidden="false" customHeight="false" outlineLevel="0" collapsed="false">
      <c r="A10" s="20" t="s">
        <v>85</v>
      </c>
      <c r="B10" s="21" t="n">
        <v>45673</v>
      </c>
      <c r="C10" s="20" t="s">
        <v>86</v>
      </c>
      <c r="D10" s="20" t="s">
        <v>87</v>
      </c>
      <c r="E10" s="20" t="s">
        <v>81</v>
      </c>
      <c r="F10" s="20" t="s">
        <v>61</v>
      </c>
      <c r="G10" s="20" t="n">
        <v>1</v>
      </c>
      <c r="H10" s="20" t="s">
        <v>88</v>
      </c>
      <c r="I10" s="20" t="s">
        <v>50</v>
      </c>
    </row>
    <row r="11" customFormat="false" ht="15" hidden="false" customHeight="false" outlineLevel="0" collapsed="false">
      <c r="A11" s="20" t="s">
        <v>89</v>
      </c>
      <c r="B11" s="20" t="s">
        <v>90</v>
      </c>
      <c r="C11" s="20" t="s">
        <v>91</v>
      </c>
      <c r="D11" s="20" t="s">
        <v>47</v>
      </c>
      <c r="E11" s="20" t="s">
        <v>92</v>
      </c>
      <c r="F11" s="20" t="s">
        <v>93</v>
      </c>
      <c r="G11" s="20" t="n">
        <v>1</v>
      </c>
      <c r="H11" s="20" t="s">
        <v>94</v>
      </c>
      <c r="I11" s="20" t="s">
        <v>50</v>
      </c>
    </row>
    <row r="12" customFormat="false" ht="15" hidden="false" customHeight="false" outlineLevel="0" collapsed="false">
      <c r="A12" s="20" t="s">
        <v>95</v>
      </c>
      <c r="B12" s="20" t="s">
        <v>96</v>
      </c>
      <c r="C12" s="20" t="s">
        <v>97</v>
      </c>
      <c r="D12" s="20" t="s">
        <v>47</v>
      </c>
      <c r="E12" s="20" t="s">
        <v>81</v>
      </c>
      <c r="F12" s="20" t="s">
        <v>61</v>
      </c>
      <c r="G12" s="20" t="n">
        <v>1</v>
      </c>
      <c r="H12" s="20" t="s">
        <v>88</v>
      </c>
      <c r="I12" s="20" t="s">
        <v>50</v>
      </c>
    </row>
    <row r="13" customFormat="false" ht="15" hidden="false" customHeight="false" outlineLevel="0" collapsed="false">
      <c r="A13" s="20" t="s">
        <v>98</v>
      </c>
      <c r="B13" s="20" t="s">
        <v>99</v>
      </c>
      <c r="C13" s="20" t="s">
        <v>100</v>
      </c>
      <c r="D13" s="20" t="s">
        <v>47</v>
      </c>
      <c r="E13" s="20" t="s">
        <v>101</v>
      </c>
      <c r="F13" s="20" t="s">
        <v>49</v>
      </c>
      <c r="G13" s="20" t="n">
        <v>1</v>
      </c>
      <c r="H13" s="20" t="n">
        <v>18</v>
      </c>
      <c r="I13" s="20" t="s">
        <v>50</v>
      </c>
    </row>
    <row r="14" customFormat="false" ht="15" hidden="false" customHeight="false" outlineLevel="0" collapsed="false">
      <c r="A14" s="20" t="s">
        <v>102</v>
      </c>
      <c r="B14" s="20" t="s">
        <v>103</v>
      </c>
      <c r="C14" s="20" t="s">
        <v>104</v>
      </c>
      <c r="D14" s="20" t="s">
        <v>47</v>
      </c>
      <c r="E14" s="20" t="s">
        <v>92</v>
      </c>
      <c r="F14" s="20" t="s">
        <v>105</v>
      </c>
      <c r="G14" s="20" t="n">
        <v>1</v>
      </c>
      <c r="H14" s="20" t="n">
        <v>49</v>
      </c>
      <c r="I14" s="20" t="s">
        <v>50</v>
      </c>
    </row>
    <row r="15" customFormat="false" ht="15" hidden="false" customHeight="false" outlineLevel="0" collapsed="false">
      <c r="A15" s="20" t="s">
        <v>106</v>
      </c>
      <c r="B15" s="20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n">
        <v>1</v>
      </c>
      <c r="H15" s="20" t="n">
        <v>16</v>
      </c>
      <c r="I15" s="20" t="s">
        <v>112</v>
      </c>
    </row>
    <row r="16" customFormat="false" ht="15" hidden="false" customHeight="false" outlineLevel="0" collapsed="false">
      <c r="A16" s="20" t="s">
        <v>113</v>
      </c>
      <c r="B16" s="20" t="s">
        <v>114</v>
      </c>
      <c r="C16" s="20" t="s">
        <v>115</v>
      </c>
      <c r="D16" s="20" t="s">
        <v>59</v>
      </c>
      <c r="E16" s="20" t="s">
        <v>48</v>
      </c>
      <c r="F16" s="20" t="s">
        <v>116</v>
      </c>
      <c r="G16" s="20" t="n">
        <v>1</v>
      </c>
      <c r="H16" s="20" t="n">
        <v>28</v>
      </c>
      <c r="I16" s="20" t="s">
        <v>50</v>
      </c>
    </row>
    <row r="17" customFormat="false" ht="15" hidden="false" customHeight="false" outlineLevel="0" collapsed="false">
      <c r="A17" s="20" t="s">
        <v>117</v>
      </c>
      <c r="B17" s="20" t="s">
        <v>118</v>
      </c>
      <c r="C17" s="20" t="s">
        <v>119</v>
      </c>
      <c r="D17" s="20" t="s">
        <v>47</v>
      </c>
      <c r="E17" s="20" t="s">
        <v>120</v>
      </c>
      <c r="F17" s="20" t="s">
        <v>121</v>
      </c>
      <c r="G17" s="20" t="n">
        <v>1</v>
      </c>
      <c r="H17" s="20" t="s">
        <v>122</v>
      </c>
      <c r="I17" s="20" t="s">
        <v>50</v>
      </c>
    </row>
    <row r="18" customFormat="false" ht="15" hidden="false" customHeight="false" outlineLevel="0" collapsed="false">
      <c r="A18" s="20" t="s">
        <v>123</v>
      </c>
      <c r="B18" s="20" t="s">
        <v>124</v>
      </c>
      <c r="C18" s="20" t="s">
        <v>125</v>
      </c>
      <c r="D18" s="20" t="s">
        <v>70</v>
      </c>
      <c r="E18" s="20" t="s">
        <v>92</v>
      </c>
      <c r="F18" s="20" t="s">
        <v>105</v>
      </c>
      <c r="G18" s="20" t="n">
        <v>1</v>
      </c>
      <c r="H18" s="20" t="s">
        <v>126</v>
      </c>
      <c r="I18" s="20" t="s">
        <v>50</v>
      </c>
    </row>
    <row r="19" customFormat="false" ht="15" hidden="false" customHeight="false" outlineLevel="0" collapsed="false">
      <c r="A19" s="20" t="s">
        <v>127</v>
      </c>
      <c r="B19" s="20" t="s">
        <v>128</v>
      </c>
      <c r="C19" s="20" t="s">
        <v>129</v>
      </c>
      <c r="D19" s="20" t="s">
        <v>59</v>
      </c>
      <c r="E19" s="20" t="s">
        <v>81</v>
      </c>
      <c r="F19" s="20" t="s">
        <v>67</v>
      </c>
      <c r="G19" s="20" t="n">
        <v>2</v>
      </c>
      <c r="H19" s="20" t="n">
        <v>45</v>
      </c>
      <c r="I19" s="20" t="s">
        <v>50</v>
      </c>
    </row>
    <row r="20" customFormat="false" ht="15" hidden="false" customHeight="false" outlineLevel="0" collapsed="false">
      <c r="A20" s="20" t="s">
        <v>130</v>
      </c>
      <c r="B20" s="20" t="s">
        <v>131</v>
      </c>
      <c r="C20" s="20" t="s">
        <v>80</v>
      </c>
      <c r="D20" s="20" t="s">
        <v>47</v>
      </c>
      <c r="E20" s="20" t="s">
        <v>110</v>
      </c>
      <c r="F20" s="20" t="s">
        <v>121</v>
      </c>
      <c r="G20" s="20" t="n">
        <v>1</v>
      </c>
      <c r="H20" s="20" t="n">
        <v>21</v>
      </c>
      <c r="I20" s="20" t="s">
        <v>50</v>
      </c>
    </row>
    <row r="21" customFormat="false" ht="15" hidden="false" customHeight="false" outlineLevel="0" collapsed="false">
      <c r="A21" s="20" t="s">
        <v>132</v>
      </c>
      <c r="B21" s="20" t="s">
        <v>133</v>
      </c>
      <c r="C21" s="20" t="s">
        <v>134</v>
      </c>
      <c r="D21" s="20" t="s">
        <v>109</v>
      </c>
      <c r="E21" s="20" t="s">
        <v>81</v>
      </c>
      <c r="F21" s="20" t="s">
        <v>67</v>
      </c>
      <c r="G21" s="20" t="n">
        <v>1</v>
      </c>
      <c r="H21" s="20" t="s">
        <v>135</v>
      </c>
      <c r="I21" s="20" t="s">
        <v>136</v>
      </c>
    </row>
    <row r="22" customFormat="false" ht="15" hidden="false" customHeight="false" outlineLevel="0" collapsed="false">
      <c r="A22" s="20" t="s">
        <v>137</v>
      </c>
      <c r="B22" s="20" t="s">
        <v>138</v>
      </c>
      <c r="C22" s="20" t="s">
        <v>139</v>
      </c>
      <c r="D22" s="20" t="s">
        <v>70</v>
      </c>
      <c r="E22" s="20" t="s">
        <v>140</v>
      </c>
      <c r="F22" s="20" t="s">
        <v>105</v>
      </c>
      <c r="G22" s="20" t="n">
        <v>2</v>
      </c>
      <c r="H22" s="20" t="n">
        <v>49</v>
      </c>
      <c r="I22" s="20" t="s">
        <v>50</v>
      </c>
    </row>
    <row r="23" customFormat="false" ht="15" hidden="false" customHeight="false" outlineLevel="0" collapsed="false">
      <c r="A23" s="20" t="s">
        <v>141</v>
      </c>
      <c r="B23" s="20" t="s">
        <v>142</v>
      </c>
      <c r="C23" s="20" t="s">
        <v>143</v>
      </c>
      <c r="D23" s="20" t="s">
        <v>65</v>
      </c>
      <c r="E23" s="20" t="s">
        <v>48</v>
      </c>
      <c r="F23" s="20" t="s">
        <v>144</v>
      </c>
      <c r="G23" s="20" t="n">
        <v>1</v>
      </c>
      <c r="H23" s="20" t="n">
        <v>54</v>
      </c>
      <c r="I23" s="20" t="s">
        <v>50</v>
      </c>
    </row>
    <row r="24" customFormat="false" ht="15" hidden="false" customHeight="false" outlineLevel="0" collapsed="false">
      <c r="A24" s="20" t="s">
        <v>145</v>
      </c>
      <c r="B24" s="20" t="s">
        <v>146</v>
      </c>
      <c r="C24" s="20" t="s">
        <v>147</v>
      </c>
      <c r="D24" s="20" t="s">
        <v>59</v>
      </c>
      <c r="E24" s="20" t="s">
        <v>81</v>
      </c>
      <c r="F24" s="20" t="s">
        <v>67</v>
      </c>
      <c r="G24" s="20" t="n">
        <v>1</v>
      </c>
      <c r="H24" s="20" t="n">
        <v>45</v>
      </c>
      <c r="I24" s="20" t="s">
        <v>50</v>
      </c>
    </row>
    <row r="25" customFormat="false" ht="15" hidden="false" customHeight="false" outlineLevel="0" collapsed="false">
      <c r="A25" s="20" t="s">
        <v>148</v>
      </c>
      <c r="B25" s="20" t="s">
        <v>149</v>
      </c>
      <c r="C25" s="20" t="s">
        <v>150</v>
      </c>
      <c r="D25" s="20" t="s">
        <v>47</v>
      </c>
      <c r="E25" s="20" t="s">
        <v>48</v>
      </c>
      <c r="F25" s="20" t="s">
        <v>116</v>
      </c>
      <c r="G25" s="20" t="n">
        <v>1</v>
      </c>
      <c r="H25" s="20" t="n">
        <v>28</v>
      </c>
      <c r="I25" s="20" t="s">
        <v>50</v>
      </c>
    </row>
    <row r="26" customFormat="false" ht="15" hidden="false" customHeight="false" outlineLevel="0" collapsed="false">
      <c r="A26" s="20" t="s">
        <v>151</v>
      </c>
      <c r="B26" s="21" t="n">
        <v>45839</v>
      </c>
      <c r="C26" s="20" t="s">
        <v>100</v>
      </c>
      <c r="D26" s="20" t="s">
        <v>70</v>
      </c>
      <c r="E26" s="20" t="s">
        <v>92</v>
      </c>
      <c r="F26" s="20" t="s">
        <v>93</v>
      </c>
      <c r="G26" s="20" t="n">
        <v>2</v>
      </c>
      <c r="H26" s="20" t="n">
        <v>15</v>
      </c>
      <c r="I26" s="20" t="s">
        <v>50</v>
      </c>
    </row>
    <row r="27" customFormat="false" ht="15" hidden="false" customHeight="false" outlineLevel="0" collapsed="false">
      <c r="A27" s="20" t="s">
        <v>152</v>
      </c>
      <c r="B27" s="21" t="n">
        <v>45963</v>
      </c>
      <c r="C27" s="20" t="s">
        <v>153</v>
      </c>
      <c r="D27" s="20" t="s">
        <v>47</v>
      </c>
      <c r="E27" s="20" t="s">
        <v>81</v>
      </c>
      <c r="F27" s="20" t="s">
        <v>82</v>
      </c>
      <c r="G27" s="20" t="n">
        <v>1</v>
      </c>
      <c r="H27" s="20" t="s">
        <v>154</v>
      </c>
      <c r="I27" s="20" t="s">
        <v>50</v>
      </c>
    </row>
    <row r="28" customFormat="false" ht="15" hidden="false" customHeight="false" outlineLevel="0" collapsed="false">
      <c r="A28" s="20" t="s">
        <v>155</v>
      </c>
      <c r="B28" s="21" t="n">
        <v>45915</v>
      </c>
      <c r="C28" s="20" t="s">
        <v>156</v>
      </c>
      <c r="D28" s="20" t="s">
        <v>157</v>
      </c>
      <c r="E28" s="20" t="s">
        <v>110</v>
      </c>
      <c r="F28" s="20" t="s">
        <v>111</v>
      </c>
      <c r="G28" s="20" t="n">
        <v>2</v>
      </c>
      <c r="H28" s="20" t="n">
        <v>16</v>
      </c>
      <c r="I28" s="20" t="s">
        <v>50</v>
      </c>
    </row>
    <row r="29" customFormat="false" ht="15" hidden="false" customHeight="false" outlineLevel="0" collapsed="false">
      <c r="A29" s="20" t="s">
        <v>158</v>
      </c>
      <c r="B29" s="20" t="s">
        <v>159</v>
      </c>
      <c r="C29" s="20" t="s">
        <v>104</v>
      </c>
      <c r="D29" s="20" t="s">
        <v>47</v>
      </c>
      <c r="E29" s="20" t="s">
        <v>92</v>
      </c>
      <c r="F29" s="20" t="s">
        <v>105</v>
      </c>
      <c r="G29" s="20" t="n">
        <v>1</v>
      </c>
      <c r="H29" s="20" t="n">
        <v>49</v>
      </c>
      <c r="I29" s="20" t="s">
        <v>112</v>
      </c>
    </row>
    <row r="30" customFormat="false" ht="15" hidden="false" customHeight="false" outlineLevel="0" collapsed="false">
      <c r="A30" s="20" t="s">
        <v>160</v>
      </c>
      <c r="B30" s="21" t="n">
        <v>45931</v>
      </c>
      <c r="C30" s="20" t="s">
        <v>161</v>
      </c>
      <c r="D30" s="20" t="s">
        <v>47</v>
      </c>
      <c r="E30" s="20" t="s">
        <v>48</v>
      </c>
      <c r="F30" s="20" t="s">
        <v>116</v>
      </c>
      <c r="G30" s="20" t="n">
        <v>1</v>
      </c>
      <c r="H30" s="20" t="s">
        <v>162</v>
      </c>
      <c r="I30" s="20" t="s">
        <v>163</v>
      </c>
    </row>
    <row r="31" customFormat="false" ht="15" hidden="false" customHeight="false" outlineLevel="0" collapsed="false">
      <c r="A31" s="20" t="s">
        <v>164</v>
      </c>
      <c r="B31" s="20" t="s">
        <v>165</v>
      </c>
      <c r="C31" s="20" t="s">
        <v>166</v>
      </c>
      <c r="D31" s="20" t="s">
        <v>70</v>
      </c>
      <c r="E31" s="20" t="s">
        <v>167</v>
      </c>
      <c r="F31" s="20" t="s">
        <v>76</v>
      </c>
      <c r="G31" s="20" t="n">
        <v>1</v>
      </c>
      <c r="H31" s="20" t="n">
        <v>32</v>
      </c>
      <c r="I31" s="20" t="s">
        <v>50</v>
      </c>
    </row>
    <row r="32" customFormat="false" ht="15" hidden="false" customHeight="false" outlineLevel="0" collapsed="false">
      <c r="A32" s="20" t="s">
        <v>168</v>
      </c>
      <c r="B32" s="20" t="s">
        <v>169</v>
      </c>
      <c r="C32" s="20" t="s">
        <v>170</v>
      </c>
      <c r="D32" s="20" t="s">
        <v>171</v>
      </c>
      <c r="E32" s="20" t="s">
        <v>81</v>
      </c>
      <c r="F32" s="20" t="s">
        <v>61</v>
      </c>
      <c r="G32" s="20" t="n">
        <v>1</v>
      </c>
      <c r="H32" s="20" t="n">
        <v>35</v>
      </c>
      <c r="I32" s="20" t="s">
        <v>50</v>
      </c>
    </row>
    <row r="33" customFormat="false" ht="15" hidden="false" customHeight="false" outlineLevel="0" collapsed="false">
      <c r="A33" s="20" t="s">
        <v>172</v>
      </c>
      <c r="B33" s="20" t="s">
        <v>173</v>
      </c>
      <c r="C33" s="20" t="s">
        <v>174</v>
      </c>
      <c r="D33" s="20" t="s">
        <v>70</v>
      </c>
      <c r="E33" s="20" t="s">
        <v>71</v>
      </c>
      <c r="F33" s="20" t="s">
        <v>72</v>
      </c>
      <c r="G33" s="20" t="n">
        <v>1</v>
      </c>
      <c r="H33" s="20" t="n">
        <v>24</v>
      </c>
      <c r="I33" s="20" t="s">
        <v>50</v>
      </c>
    </row>
    <row r="34" customFormat="false" ht="15" hidden="false" customHeight="false" outlineLevel="0" collapsed="false">
      <c r="A34" s="20" t="s">
        <v>175</v>
      </c>
      <c r="B34" s="20" t="s">
        <v>176</v>
      </c>
      <c r="C34" s="20" t="s">
        <v>177</v>
      </c>
      <c r="D34" s="20" t="s">
        <v>47</v>
      </c>
      <c r="E34" s="20" t="s">
        <v>81</v>
      </c>
      <c r="F34" s="20" t="s">
        <v>67</v>
      </c>
      <c r="G34" s="20" t="n">
        <v>2</v>
      </c>
      <c r="H34" s="20" t="s">
        <v>135</v>
      </c>
      <c r="I34" s="20" t="s">
        <v>50</v>
      </c>
    </row>
    <row r="35" customFormat="false" ht="15" hidden="false" customHeight="false" outlineLevel="0" collapsed="false">
      <c r="A35" s="20" t="s">
        <v>178</v>
      </c>
      <c r="B35" s="20" t="s">
        <v>179</v>
      </c>
      <c r="C35" s="20"/>
      <c r="D35" s="20" t="s">
        <v>47</v>
      </c>
      <c r="E35" s="20" t="s">
        <v>48</v>
      </c>
      <c r="F35" s="20" t="s">
        <v>49</v>
      </c>
      <c r="G35" s="20" t="n">
        <v>1</v>
      </c>
      <c r="H35" s="20" t="s">
        <v>180</v>
      </c>
      <c r="I35" s="20" t="s">
        <v>50</v>
      </c>
    </row>
    <row r="36" customFormat="false" ht="15" hidden="false" customHeight="false" outlineLevel="0" collapsed="false">
      <c r="A36" s="20" t="s">
        <v>181</v>
      </c>
      <c r="B36" s="20" t="s">
        <v>182</v>
      </c>
      <c r="C36" s="20" t="s">
        <v>183</v>
      </c>
      <c r="D36" s="20" t="s">
        <v>87</v>
      </c>
      <c r="E36" s="20" t="s">
        <v>92</v>
      </c>
      <c r="F36" s="20" t="s">
        <v>93</v>
      </c>
      <c r="G36" s="20" t="n">
        <v>1</v>
      </c>
      <c r="H36" s="20" t="s">
        <v>94</v>
      </c>
      <c r="I36" s="20" t="s">
        <v>50</v>
      </c>
    </row>
    <row r="37" customFormat="false" ht="15" hidden="false" customHeight="false" outlineLevel="0" collapsed="false">
      <c r="A37" s="20" t="s">
        <v>184</v>
      </c>
      <c r="B37" s="20" t="s">
        <v>185</v>
      </c>
      <c r="C37" s="20" t="s">
        <v>186</v>
      </c>
      <c r="D37" s="20" t="s">
        <v>109</v>
      </c>
      <c r="E37" s="20" t="s">
        <v>81</v>
      </c>
      <c r="F37" s="20" t="s">
        <v>67</v>
      </c>
      <c r="G37" s="20" t="n">
        <v>1</v>
      </c>
      <c r="H37" s="20" t="n">
        <v>45</v>
      </c>
      <c r="I37" s="20" t="s">
        <v>50</v>
      </c>
    </row>
    <row r="38" customFormat="false" ht="15" hidden="false" customHeight="false" outlineLevel="0" collapsed="false">
      <c r="A38" s="20" t="s">
        <v>187</v>
      </c>
      <c r="B38" s="20" t="s">
        <v>188</v>
      </c>
      <c r="C38" s="20" t="s">
        <v>189</v>
      </c>
      <c r="D38" s="20" t="s">
        <v>59</v>
      </c>
      <c r="E38" s="20" t="s">
        <v>48</v>
      </c>
      <c r="F38" s="20" t="s">
        <v>144</v>
      </c>
      <c r="G38" s="20" t="n">
        <v>1</v>
      </c>
      <c r="H38" s="20" t="n">
        <v>54</v>
      </c>
      <c r="I38" s="20" t="s">
        <v>50</v>
      </c>
    </row>
    <row r="39" customFormat="false" ht="15" hidden="false" customHeight="false" outlineLevel="0" collapsed="false">
      <c r="A39" s="20" t="s">
        <v>190</v>
      </c>
      <c r="B39" s="20" t="s">
        <v>191</v>
      </c>
      <c r="C39" s="20" t="s">
        <v>192</v>
      </c>
      <c r="D39" s="20" t="s">
        <v>65</v>
      </c>
      <c r="E39" s="20" t="s">
        <v>81</v>
      </c>
      <c r="F39" s="20" t="s">
        <v>67</v>
      </c>
      <c r="G39" s="20" t="n">
        <v>2</v>
      </c>
      <c r="H39" s="20" t="n">
        <v>45</v>
      </c>
      <c r="I39" s="20" t="s">
        <v>50</v>
      </c>
    </row>
    <row r="40" customFormat="false" ht="15" hidden="false" customHeight="false" outlineLevel="0" collapsed="false">
      <c r="A40" s="20" t="s">
        <v>193</v>
      </c>
      <c r="B40" s="20" t="s">
        <v>194</v>
      </c>
      <c r="C40" s="20" t="s">
        <v>195</v>
      </c>
      <c r="D40" s="20" t="s">
        <v>70</v>
      </c>
      <c r="E40" s="20" t="s">
        <v>92</v>
      </c>
      <c r="F40" s="20" t="s">
        <v>196</v>
      </c>
      <c r="G40" s="20" t="n">
        <v>1</v>
      </c>
      <c r="H40" s="20" t="n">
        <v>89</v>
      </c>
      <c r="I40" s="20" t="s">
        <v>50</v>
      </c>
    </row>
    <row r="41" customFormat="false" ht="15" hidden="false" customHeight="false" outlineLevel="0" collapsed="false">
      <c r="A41" s="20" t="s">
        <v>197</v>
      </c>
      <c r="B41" s="20" t="s">
        <v>198</v>
      </c>
      <c r="C41" s="20" t="s">
        <v>147</v>
      </c>
      <c r="D41" s="20" t="s">
        <v>70</v>
      </c>
      <c r="E41" s="20" t="s">
        <v>81</v>
      </c>
      <c r="F41" s="20" t="s">
        <v>67</v>
      </c>
      <c r="G41" s="20" t="n">
        <v>1</v>
      </c>
      <c r="H41" s="20" t="n">
        <v>45</v>
      </c>
      <c r="I41" s="20" t="s">
        <v>199</v>
      </c>
    </row>
    <row r="42" customFormat="false" ht="15" hidden="false" customHeight="false" outlineLevel="0" collapsed="false">
      <c r="A42" s="20" t="s">
        <v>200</v>
      </c>
      <c r="B42" s="20" t="s">
        <v>201</v>
      </c>
      <c r="C42" s="20" t="s">
        <v>75</v>
      </c>
      <c r="D42" s="20" t="s">
        <v>202</v>
      </c>
      <c r="E42" s="20" t="s">
        <v>54</v>
      </c>
      <c r="F42" s="20" t="s">
        <v>55</v>
      </c>
      <c r="G42" s="20" t="n">
        <v>2</v>
      </c>
      <c r="H42" s="20" t="n">
        <v>38</v>
      </c>
      <c r="I42" s="20" t="s">
        <v>50</v>
      </c>
    </row>
    <row r="43" customFormat="false" ht="15" hidden="false" customHeight="false" outlineLevel="0" collapsed="false">
      <c r="A43" s="20" t="s">
        <v>203</v>
      </c>
      <c r="B43" s="20" t="s">
        <v>204</v>
      </c>
      <c r="C43" s="20" t="s">
        <v>189</v>
      </c>
      <c r="D43" s="20" t="s">
        <v>47</v>
      </c>
      <c r="E43" s="20" t="s">
        <v>92</v>
      </c>
      <c r="F43" s="20" t="s">
        <v>196</v>
      </c>
      <c r="G43" s="20" t="n">
        <v>1</v>
      </c>
      <c r="H43" s="20" t="n">
        <v>89</v>
      </c>
      <c r="I43" s="20" t="s">
        <v>199</v>
      </c>
    </row>
    <row r="44" customFormat="false" ht="15" hidden="false" customHeight="false" outlineLevel="0" collapsed="false">
      <c r="A44" s="20" t="s">
        <v>205</v>
      </c>
      <c r="B44" s="20" t="s">
        <v>206</v>
      </c>
      <c r="C44" s="20" t="s">
        <v>100</v>
      </c>
      <c r="D44" s="20" t="s">
        <v>65</v>
      </c>
      <c r="E44" s="20" t="s">
        <v>207</v>
      </c>
      <c r="F44" s="20" t="s">
        <v>105</v>
      </c>
      <c r="G44" s="20" t="n">
        <v>1</v>
      </c>
      <c r="H44" s="20" t="n">
        <v>49</v>
      </c>
      <c r="I44" s="20" t="s">
        <v>50</v>
      </c>
    </row>
    <row r="45" customFormat="false" ht="15" hidden="false" customHeight="false" outlineLevel="0" collapsed="false">
      <c r="A45" s="20" t="s">
        <v>208</v>
      </c>
      <c r="B45" s="20" t="s">
        <v>209</v>
      </c>
      <c r="C45" s="20" t="s">
        <v>210</v>
      </c>
      <c r="D45" s="20" t="s">
        <v>47</v>
      </c>
      <c r="E45" s="20" t="s">
        <v>71</v>
      </c>
      <c r="F45" s="20" t="s">
        <v>76</v>
      </c>
      <c r="G45" s="20" t="n">
        <v>3</v>
      </c>
      <c r="H45" s="20" t="s">
        <v>77</v>
      </c>
      <c r="I45" s="20" t="s">
        <v>112</v>
      </c>
    </row>
    <row r="46" customFormat="false" ht="15" hidden="false" customHeight="false" outlineLevel="0" collapsed="false">
      <c r="A46" s="20" t="s">
        <v>211</v>
      </c>
      <c r="B46" s="20" t="s">
        <v>212</v>
      </c>
      <c r="C46" s="20" t="s">
        <v>170</v>
      </c>
      <c r="D46" s="20" t="s">
        <v>47</v>
      </c>
      <c r="E46" s="20" t="s">
        <v>48</v>
      </c>
      <c r="F46" s="20" t="s">
        <v>116</v>
      </c>
      <c r="G46" s="20" t="n">
        <v>1</v>
      </c>
      <c r="H46" s="20" t="n">
        <v>28</v>
      </c>
      <c r="I46" s="20" t="s">
        <v>50</v>
      </c>
    </row>
    <row r="47" customFormat="false" ht="15" hidden="false" customHeight="false" outlineLevel="0" collapsed="false">
      <c r="A47" s="20" t="s">
        <v>213</v>
      </c>
      <c r="B47" s="21" t="n">
        <v>45770</v>
      </c>
      <c r="C47" s="20" t="s">
        <v>214</v>
      </c>
      <c r="D47" s="20" t="s">
        <v>59</v>
      </c>
      <c r="E47" s="20" t="s">
        <v>167</v>
      </c>
      <c r="F47" s="20" t="s">
        <v>76</v>
      </c>
      <c r="G47" s="20" t="n">
        <v>1</v>
      </c>
      <c r="H47" s="20" t="s">
        <v>77</v>
      </c>
      <c r="I47" s="20" t="s">
        <v>163</v>
      </c>
    </row>
    <row r="48" customFormat="false" ht="15" hidden="false" customHeight="false" outlineLevel="0" collapsed="false">
      <c r="A48" s="20" t="s">
        <v>215</v>
      </c>
      <c r="B48" s="21" t="n">
        <v>45846</v>
      </c>
      <c r="C48" s="20" t="s">
        <v>216</v>
      </c>
      <c r="D48" s="20" t="s">
        <v>70</v>
      </c>
      <c r="E48" s="20" t="s">
        <v>54</v>
      </c>
      <c r="F48" s="20" t="s">
        <v>76</v>
      </c>
      <c r="G48" s="20" t="n">
        <v>1</v>
      </c>
      <c r="H48" s="20" t="n">
        <v>32</v>
      </c>
      <c r="I48" s="20" t="s">
        <v>50</v>
      </c>
    </row>
    <row r="49" customFormat="false" ht="15" hidden="false" customHeight="false" outlineLevel="0" collapsed="false">
      <c r="A49" s="20" t="s">
        <v>217</v>
      </c>
      <c r="B49" s="20" t="s">
        <v>218</v>
      </c>
      <c r="C49" s="20" t="s">
        <v>219</v>
      </c>
      <c r="D49" s="20" t="s">
        <v>53</v>
      </c>
      <c r="E49" s="20" t="s">
        <v>92</v>
      </c>
      <c r="F49" s="20" t="s">
        <v>196</v>
      </c>
      <c r="G49" s="20" t="n">
        <v>3</v>
      </c>
      <c r="H49" s="20" t="s">
        <v>220</v>
      </c>
      <c r="I49" s="20" t="s">
        <v>50</v>
      </c>
    </row>
    <row r="50" customFormat="false" ht="15" hidden="false" customHeight="false" outlineLevel="0" collapsed="false">
      <c r="A50" s="20" t="s">
        <v>221</v>
      </c>
      <c r="B50" s="21" t="n">
        <v>45942</v>
      </c>
      <c r="C50" s="20" t="s">
        <v>97</v>
      </c>
      <c r="D50" s="20" t="s">
        <v>222</v>
      </c>
      <c r="E50" s="20" t="s">
        <v>81</v>
      </c>
      <c r="F50" s="20" t="s">
        <v>61</v>
      </c>
      <c r="G50" s="20" t="n">
        <v>1</v>
      </c>
      <c r="H50" s="20" t="n">
        <v>35</v>
      </c>
      <c r="I50" s="20" t="s">
        <v>50</v>
      </c>
    </row>
    <row r="51" customFormat="false" ht="15" hidden="false" customHeight="false" outlineLevel="0" collapsed="false">
      <c r="A51" s="20" t="s">
        <v>223</v>
      </c>
      <c r="B51" s="21" t="n">
        <v>46019</v>
      </c>
      <c r="C51" s="20" t="s">
        <v>224</v>
      </c>
      <c r="D51" s="20" t="s">
        <v>65</v>
      </c>
      <c r="E51" s="20" t="s">
        <v>81</v>
      </c>
      <c r="F51" s="20" t="s">
        <v>82</v>
      </c>
      <c r="G51" s="20" t="n">
        <v>1</v>
      </c>
      <c r="H51" s="20" t="n">
        <v>22</v>
      </c>
      <c r="I51" s="20" t="s">
        <v>199</v>
      </c>
    </row>
    <row r="52" customFormat="false" ht="15" hidden="false" customHeight="false" outlineLevel="0" collapsed="false">
      <c r="A52" s="20" t="s">
        <v>225</v>
      </c>
      <c r="B52" s="20" t="s">
        <v>226</v>
      </c>
      <c r="C52" s="20" t="s">
        <v>227</v>
      </c>
      <c r="D52" s="20" t="s">
        <v>47</v>
      </c>
      <c r="E52" s="20" t="s">
        <v>228</v>
      </c>
      <c r="F52" s="20" t="s">
        <v>144</v>
      </c>
      <c r="G52" s="20" t="n">
        <v>1</v>
      </c>
      <c r="H52" s="20" t="s">
        <v>229</v>
      </c>
      <c r="I52" s="20" t="s">
        <v>163</v>
      </c>
    </row>
    <row r="53" customFormat="false" ht="15" hidden="false" customHeight="false" outlineLevel="0" collapsed="false">
      <c r="A53" s="20" t="s">
        <v>230</v>
      </c>
      <c r="B53" s="20" t="s">
        <v>231</v>
      </c>
      <c r="C53" s="20" t="s">
        <v>224</v>
      </c>
      <c r="D53" s="20" t="s">
        <v>47</v>
      </c>
      <c r="E53" s="20" t="s">
        <v>48</v>
      </c>
      <c r="F53" s="20" t="s">
        <v>116</v>
      </c>
      <c r="G53" s="20" t="n">
        <v>1</v>
      </c>
      <c r="H53" s="20" t="n">
        <v>28</v>
      </c>
      <c r="I53" s="20" t="s">
        <v>50</v>
      </c>
    </row>
    <row r="54" customFormat="false" ht="15" hidden="false" customHeight="false" outlineLevel="0" collapsed="false">
      <c r="A54" s="20" t="s">
        <v>232</v>
      </c>
      <c r="B54" s="21" t="n">
        <v>46012</v>
      </c>
      <c r="C54" s="20" t="s">
        <v>233</v>
      </c>
      <c r="D54" s="20" t="s">
        <v>47</v>
      </c>
      <c r="E54" s="20" t="s">
        <v>234</v>
      </c>
      <c r="F54" s="20" t="s">
        <v>82</v>
      </c>
      <c r="G54" s="20" t="n">
        <v>2</v>
      </c>
      <c r="H54" s="20" t="n">
        <v>22</v>
      </c>
      <c r="I54" s="20" t="s">
        <v>50</v>
      </c>
    </row>
    <row r="55" customFormat="false" ht="15" hidden="false" customHeight="false" outlineLevel="0" collapsed="false">
      <c r="A55" s="20" t="s">
        <v>235</v>
      </c>
      <c r="B55" s="21" t="n">
        <v>45781</v>
      </c>
      <c r="C55" s="20" t="s">
        <v>210</v>
      </c>
      <c r="D55" s="20" t="s">
        <v>47</v>
      </c>
      <c r="E55" s="20" t="s">
        <v>110</v>
      </c>
      <c r="F55" s="20" t="s">
        <v>236</v>
      </c>
      <c r="G55" s="20" t="n">
        <v>2</v>
      </c>
      <c r="H55" s="20" t="n">
        <v>30</v>
      </c>
      <c r="I55" s="20" t="s">
        <v>50</v>
      </c>
    </row>
    <row r="56" customFormat="false" ht="15" hidden="false" customHeight="false" outlineLevel="0" collapsed="false">
      <c r="A56" s="20" t="s">
        <v>237</v>
      </c>
      <c r="B56" s="20" t="s">
        <v>238</v>
      </c>
      <c r="C56" s="20" t="s">
        <v>239</v>
      </c>
      <c r="D56" s="20" t="s">
        <v>171</v>
      </c>
      <c r="E56" s="20" t="s">
        <v>92</v>
      </c>
      <c r="F56" s="20" t="s">
        <v>105</v>
      </c>
      <c r="G56" s="20" t="n">
        <v>1</v>
      </c>
      <c r="H56" s="20" t="n">
        <v>49</v>
      </c>
      <c r="I56" s="20" t="s">
        <v>50</v>
      </c>
    </row>
    <row r="57" customFormat="false" ht="15" hidden="false" customHeight="false" outlineLevel="0" collapsed="false">
      <c r="A57" s="20" t="s">
        <v>240</v>
      </c>
      <c r="B57" s="21" t="n">
        <v>45765</v>
      </c>
      <c r="C57" s="20" t="s">
        <v>241</v>
      </c>
      <c r="D57" s="20" t="s">
        <v>59</v>
      </c>
      <c r="E57" s="20" t="s">
        <v>120</v>
      </c>
      <c r="F57" s="20" t="s">
        <v>236</v>
      </c>
      <c r="G57" s="20" t="n">
        <v>3</v>
      </c>
      <c r="H57" s="20" t="s">
        <v>242</v>
      </c>
      <c r="I57" s="20" t="s">
        <v>50</v>
      </c>
    </row>
    <row r="58" customFormat="false" ht="15" hidden="false" customHeight="false" outlineLevel="0" collapsed="false">
      <c r="A58" s="20" t="s">
        <v>243</v>
      </c>
      <c r="B58" s="20" t="s">
        <v>244</v>
      </c>
      <c r="C58" s="20" t="s">
        <v>245</v>
      </c>
      <c r="D58" s="20" t="s">
        <v>171</v>
      </c>
      <c r="E58" s="20" t="s">
        <v>92</v>
      </c>
      <c r="F58" s="20" t="s">
        <v>93</v>
      </c>
      <c r="G58" s="20" t="n">
        <v>1</v>
      </c>
      <c r="H58" s="20" t="n">
        <v>15</v>
      </c>
      <c r="I58" s="20" t="s">
        <v>50</v>
      </c>
    </row>
    <row r="59" customFormat="false" ht="15" hidden="false" customHeight="false" outlineLevel="0" collapsed="false">
      <c r="A59" s="20" t="s">
        <v>246</v>
      </c>
      <c r="B59" s="20" t="s">
        <v>247</v>
      </c>
      <c r="C59" s="20" t="s">
        <v>248</v>
      </c>
      <c r="D59" s="20" t="s">
        <v>47</v>
      </c>
      <c r="E59" s="20" t="s">
        <v>110</v>
      </c>
      <c r="F59" s="20" t="s">
        <v>111</v>
      </c>
      <c r="G59" s="20" t="n">
        <v>1</v>
      </c>
      <c r="H59" s="20" t="n">
        <v>16</v>
      </c>
      <c r="I59" s="20" t="s">
        <v>50</v>
      </c>
    </row>
    <row r="60" customFormat="false" ht="15" hidden="false" customHeight="false" outlineLevel="0" collapsed="false">
      <c r="A60" s="20" t="s">
        <v>249</v>
      </c>
      <c r="B60" s="21" t="n">
        <v>45801</v>
      </c>
      <c r="C60" s="20" t="s">
        <v>250</v>
      </c>
      <c r="D60" s="20" t="s">
        <v>47</v>
      </c>
      <c r="E60" s="20" t="s">
        <v>81</v>
      </c>
      <c r="F60" s="20" t="s">
        <v>82</v>
      </c>
      <c r="G60" s="20" t="n">
        <v>2</v>
      </c>
      <c r="H60" s="20" t="s">
        <v>154</v>
      </c>
      <c r="I60" s="20" t="s">
        <v>50</v>
      </c>
    </row>
    <row r="61" customFormat="false" ht="15" hidden="false" customHeight="false" outlineLevel="0" collapsed="false">
      <c r="A61" s="20" t="s">
        <v>251</v>
      </c>
      <c r="B61" s="20" t="s">
        <v>252</v>
      </c>
      <c r="C61" s="20" t="s">
        <v>170</v>
      </c>
      <c r="D61" s="20" t="s">
        <v>253</v>
      </c>
      <c r="E61" s="20" t="s">
        <v>92</v>
      </c>
      <c r="F61" s="20" t="s">
        <v>196</v>
      </c>
      <c r="G61" s="20" t="n">
        <v>2</v>
      </c>
      <c r="H61" s="20" t="n">
        <v>89</v>
      </c>
      <c r="I61" s="20" t="s">
        <v>50</v>
      </c>
    </row>
    <row r="62" customFormat="false" ht="15" hidden="false" customHeight="false" outlineLevel="0" collapsed="false">
      <c r="A62" s="20" t="s">
        <v>254</v>
      </c>
      <c r="B62" s="20" t="s">
        <v>255</v>
      </c>
      <c r="C62" s="20" t="s">
        <v>170</v>
      </c>
      <c r="D62" s="20" t="s">
        <v>70</v>
      </c>
      <c r="E62" s="20" t="s">
        <v>54</v>
      </c>
      <c r="F62" s="20" t="s">
        <v>72</v>
      </c>
      <c r="G62" s="20" t="n">
        <v>1</v>
      </c>
      <c r="H62" s="20" t="n">
        <v>24</v>
      </c>
      <c r="I62" s="20" t="s">
        <v>50</v>
      </c>
    </row>
    <row r="63" customFormat="false" ht="15" hidden="false" customHeight="false" outlineLevel="0" collapsed="false">
      <c r="A63" s="20" t="s">
        <v>256</v>
      </c>
      <c r="B63" s="20" t="s">
        <v>257</v>
      </c>
      <c r="C63" s="20" t="s">
        <v>258</v>
      </c>
      <c r="D63" s="20" t="s">
        <v>65</v>
      </c>
      <c r="E63" s="20" t="s">
        <v>54</v>
      </c>
      <c r="F63" s="20" t="s">
        <v>55</v>
      </c>
      <c r="G63" s="20" t="n">
        <v>3</v>
      </c>
      <c r="H63" s="20" t="s">
        <v>259</v>
      </c>
      <c r="I63" s="20" t="s">
        <v>50</v>
      </c>
    </row>
    <row r="64" customFormat="false" ht="15" hidden="false" customHeight="false" outlineLevel="0" collapsed="false">
      <c r="A64" s="20" t="s">
        <v>260</v>
      </c>
      <c r="B64" s="20" t="s">
        <v>261</v>
      </c>
      <c r="C64" s="20" t="s">
        <v>262</v>
      </c>
      <c r="D64" s="20" t="s">
        <v>47</v>
      </c>
      <c r="E64" s="20" t="s">
        <v>92</v>
      </c>
      <c r="F64" s="20" t="s">
        <v>105</v>
      </c>
      <c r="G64" s="20" t="n">
        <v>1</v>
      </c>
      <c r="H64" s="20" t="s">
        <v>126</v>
      </c>
      <c r="I64" s="20" t="s">
        <v>50</v>
      </c>
    </row>
    <row r="65" customFormat="false" ht="15" hidden="false" customHeight="false" outlineLevel="0" collapsed="false">
      <c r="A65" s="20" t="s">
        <v>263</v>
      </c>
      <c r="B65" s="20" t="s">
        <v>264</v>
      </c>
      <c r="C65" s="20" t="s">
        <v>119</v>
      </c>
      <c r="D65" s="20" t="s">
        <v>59</v>
      </c>
      <c r="E65" s="20" t="s">
        <v>81</v>
      </c>
      <c r="F65" s="20" t="s">
        <v>82</v>
      </c>
      <c r="G65" s="20" t="n">
        <v>1</v>
      </c>
      <c r="H65" s="20" t="n">
        <v>22</v>
      </c>
      <c r="I65" s="20" t="s">
        <v>50</v>
      </c>
    </row>
    <row r="66" customFormat="false" ht="15" hidden="false" customHeight="false" outlineLevel="0" collapsed="false">
      <c r="A66" s="20" t="s">
        <v>265</v>
      </c>
      <c r="B66" s="20" t="s">
        <v>266</v>
      </c>
      <c r="C66" s="20" t="s">
        <v>161</v>
      </c>
      <c r="D66" s="20" t="s">
        <v>65</v>
      </c>
      <c r="E66" s="20" t="s">
        <v>92</v>
      </c>
      <c r="F66" s="20" t="s">
        <v>105</v>
      </c>
      <c r="G66" s="20" t="n">
        <v>1</v>
      </c>
      <c r="H66" s="20" t="n">
        <v>49</v>
      </c>
      <c r="I66" s="20" t="s">
        <v>136</v>
      </c>
    </row>
    <row r="67" customFormat="false" ht="15" hidden="false" customHeight="false" outlineLevel="0" collapsed="false">
      <c r="A67" s="20" t="s">
        <v>267</v>
      </c>
      <c r="B67" s="20" t="s">
        <v>268</v>
      </c>
      <c r="C67" s="20" t="s">
        <v>269</v>
      </c>
      <c r="D67" s="20" t="s">
        <v>47</v>
      </c>
      <c r="E67" s="20" t="s">
        <v>48</v>
      </c>
      <c r="F67" s="20" t="s">
        <v>49</v>
      </c>
      <c r="G67" s="20" t="n">
        <v>1</v>
      </c>
      <c r="H67" s="20" t="n">
        <v>18</v>
      </c>
      <c r="I67" s="20" t="s">
        <v>50</v>
      </c>
    </row>
    <row r="68" customFormat="false" ht="15" hidden="false" customHeight="false" outlineLevel="0" collapsed="false">
      <c r="A68" s="20" t="s">
        <v>270</v>
      </c>
      <c r="B68" s="20" t="s">
        <v>271</v>
      </c>
      <c r="C68" s="20" t="s">
        <v>272</v>
      </c>
      <c r="D68" s="20" t="s">
        <v>109</v>
      </c>
      <c r="E68" s="20" t="s">
        <v>54</v>
      </c>
      <c r="F68" s="20" t="s">
        <v>76</v>
      </c>
      <c r="G68" s="20" t="n">
        <v>2</v>
      </c>
      <c r="H68" s="20" t="s">
        <v>77</v>
      </c>
      <c r="I68" s="20" t="s">
        <v>50</v>
      </c>
    </row>
    <row r="69" customFormat="false" ht="15" hidden="false" customHeight="false" outlineLevel="0" collapsed="false">
      <c r="A69" s="20" t="s">
        <v>273</v>
      </c>
      <c r="B69" s="21" t="n">
        <v>45994</v>
      </c>
      <c r="C69" s="20" t="s">
        <v>241</v>
      </c>
      <c r="D69" s="20" t="s">
        <v>70</v>
      </c>
      <c r="E69" s="20" t="s">
        <v>54</v>
      </c>
      <c r="F69" s="20" t="s">
        <v>55</v>
      </c>
      <c r="G69" s="20" t="n">
        <v>1</v>
      </c>
      <c r="H69" s="20" t="n">
        <v>38</v>
      </c>
      <c r="I69" s="20" t="s">
        <v>50</v>
      </c>
    </row>
    <row r="70" customFormat="false" ht="15" hidden="false" customHeight="false" outlineLevel="0" collapsed="false">
      <c r="A70" s="20" t="s">
        <v>274</v>
      </c>
      <c r="B70" s="20" t="s">
        <v>275</v>
      </c>
      <c r="C70" s="20" t="s">
        <v>64</v>
      </c>
      <c r="D70" s="20" t="s">
        <v>109</v>
      </c>
      <c r="E70" s="20" t="s">
        <v>81</v>
      </c>
      <c r="F70" s="20" t="s">
        <v>61</v>
      </c>
      <c r="G70" s="20" t="n">
        <v>2</v>
      </c>
      <c r="H70" s="20" t="s">
        <v>88</v>
      </c>
      <c r="I70" s="20" t="s">
        <v>50</v>
      </c>
    </row>
    <row r="71" customFormat="false" ht="15" hidden="false" customHeight="false" outlineLevel="0" collapsed="false">
      <c r="A71" s="20" t="s">
        <v>276</v>
      </c>
      <c r="B71" s="20" t="s">
        <v>277</v>
      </c>
      <c r="C71" s="20" t="s">
        <v>278</v>
      </c>
      <c r="D71" s="20" t="s">
        <v>47</v>
      </c>
      <c r="E71" s="20" t="s">
        <v>48</v>
      </c>
      <c r="F71" s="20" t="s">
        <v>49</v>
      </c>
      <c r="G71" s="20" t="n">
        <v>1</v>
      </c>
      <c r="H71" s="20" t="s">
        <v>180</v>
      </c>
      <c r="I71" s="20" t="s">
        <v>50</v>
      </c>
    </row>
    <row r="72" customFormat="false" ht="15" hidden="false" customHeight="false" outlineLevel="0" collapsed="false">
      <c r="A72" s="20" t="s">
        <v>279</v>
      </c>
      <c r="B72" s="20" t="s">
        <v>280</v>
      </c>
      <c r="C72" s="20" t="s">
        <v>281</v>
      </c>
      <c r="D72" s="20" t="s">
        <v>282</v>
      </c>
      <c r="E72" s="20" t="s">
        <v>54</v>
      </c>
      <c r="F72" s="20" t="s">
        <v>76</v>
      </c>
      <c r="G72" s="20" t="n">
        <v>1</v>
      </c>
      <c r="H72" s="20" t="n">
        <v>32</v>
      </c>
      <c r="I72" s="20" t="s">
        <v>50</v>
      </c>
    </row>
    <row r="73" customFormat="false" ht="15" hidden="false" customHeight="false" outlineLevel="0" collapsed="false">
      <c r="A73" s="20" t="s">
        <v>283</v>
      </c>
      <c r="B73" s="21" t="n">
        <v>45882</v>
      </c>
      <c r="C73" s="20" t="s">
        <v>224</v>
      </c>
      <c r="D73" s="20" t="s">
        <v>70</v>
      </c>
      <c r="E73" s="20" t="s">
        <v>81</v>
      </c>
      <c r="F73" s="20" t="s">
        <v>67</v>
      </c>
      <c r="G73" s="20" t="n">
        <v>2</v>
      </c>
      <c r="H73" s="20" t="n">
        <v>45</v>
      </c>
      <c r="I73" s="20" t="s">
        <v>50</v>
      </c>
    </row>
    <row r="74" customFormat="false" ht="15" hidden="false" customHeight="false" outlineLevel="0" collapsed="false">
      <c r="A74" s="20" t="s">
        <v>284</v>
      </c>
      <c r="B74" s="20" t="s">
        <v>285</v>
      </c>
      <c r="C74" s="20" t="s">
        <v>286</v>
      </c>
      <c r="D74" s="20" t="s">
        <v>287</v>
      </c>
      <c r="E74" s="20" t="s">
        <v>71</v>
      </c>
      <c r="F74" s="20" t="s">
        <v>76</v>
      </c>
      <c r="G74" s="20" t="n">
        <v>1</v>
      </c>
      <c r="H74" s="20" t="n">
        <v>32</v>
      </c>
      <c r="I74" s="20" t="s">
        <v>288</v>
      </c>
    </row>
    <row r="75" customFormat="false" ht="15" hidden="false" customHeight="false" outlineLevel="0" collapsed="false">
      <c r="A75" s="20" t="s">
        <v>289</v>
      </c>
      <c r="B75" s="20" t="s">
        <v>290</v>
      </c>
      <c r="C75" s="20" t="s">
        <v>291</v>
      </c>
      <c r="D75" s="20" t="s">
        <v>47</v>
      </c>
      <c r="E75" s="20" t="s">
        <v>292</v>
      </c>
      <c r="F75" s="20" t="s">
        <v>72</v>
      </c>
      <c r="G75" s="20" t="n">
        <v>2</v>
      </c>
      <c r="H75" s="20" t="s">
        <v>293</v>
      </c>
      <c r="I75" s="20" t="s">
        <v>50</v>
      </c>
    </row>
    <row r="76" customFormat="false" ht="15" hidden="false" customHeight="false" outlineLevel="0" collapsed="false">
      <c r="A76" s="20" t="s">
        <v>294</v>
      </c>
      <c r="B76" s="20" t="s">
        <v>295</v>
      </c>
      <c r="C76" s="20" t="s">
        <v>296</v>
      </c>
      <c r="D76" s="20" t="s">
        <v>47</v>
      </c>
      <c r="E76" s="20" t="s">
        <v>297</v>
      </c>
      <c r="F76" s="20" t="s">
        <v>111</v>
      </c>
      <c r="G76" s="20" t="n">
        <v>1</v>
      </c>
      <c r="H76" s="20" t="n">
        <v>16</v>
      </c>
      <c r="I76" s="20" t="s">
        <v>50</v>
      </c>
    </row>
    <row r="77" customFormat="false" ht="15" hidden="false" customHeight="false" outlineLevel="0" collapsed="false">
      <c r="A77" s="20" t="s">
        <v>298</v>
      </c>
      <c r="B77" s="20" t="s">
        <v>299</v>
      </c>
      <c r="C77" s="20" t="s">
        <v>300</v>
      </c>
      <c r="D77" s="20" t="s">
        <v>301</v>
      </c>
      <c r="E77" s="20" t="s">
        <v>81</v>
      </c>
      <c r="F77" s="20" t="s">
        <v>67</v>
      </c>
      <c r="G77" s="20" t="n">
        <v>1</v>
      </c>
      <c r="H77" s="20" t="n">
        <v>45</v>
      </c>
      <c r="I77" s="20" t="s">
        <v>50</v>
      </c>
    </row>
    <row r="78" customFormat="false" ht="15" hidden="false" customHeight="false" outlineLevel="0" collapsed="false">
      <c r="A78" s="20" t="s">
        <v>302</v>
      </c>
      <c r="B78" s="20" t="s">
        <v>303</v>
      </c>
      <c r="C78" s="20" t="s">
        <v>304</v>
      </c>
      <c r="D78" s="20" t="s">
        <v>70</v>
      </c>
      <c r="E78" s="20" t="s">
        <v>81</v>
      </c>
      <c r="F78" s="20" t="s">
        <v>61</v>
      </c>
      <c r="G78" s="20" t="n">
        <v>2</v>
      </c>
      <c r="H78" s="20" t="n">
        <v>35</v>
      </c>
      <c r="I78" s="20" t="s">
        <v>50</v>
      </c>
    </row>
    <row r="79" customFormat="false" ht="15" hidden="false" customHeight="false" outlineLevel="0" collapsed="false">
      <c r="A79" s="20" t="s">
        <v>305</v>
      </c>
      <c r="B79" s="20" t="s">
        <v>159</v>
      </c>
      <c r="C79" s="20" t="s">
        <v>306</v>
      </c>
      <c r="D79" s="20" t="s">
        <v>47</v>
      </c>
      <c r="E79" s="20" t="s">
        <v>71</v>
      </c>
      <c r="F79" s="20" t="s">
        <v>72</v>
      </c>
      <c r="G79" s="20" t="n">
        <v>1</v>
      </c>
      <c r="H79" s="20" t="n">
        <v>24</v>
      </c>
      <c r="I79" s="20" t="s">
        <v>50</v>
      </c>
    </row>
    <row r="80" customFormat="false" ht="15" hidden="false" customHeight="false" outlineLevel="0" collapsed="false">
      <c r="A80" s="20" t="s">
        <v>307</v>
      </c>
      <c r="B80" s="20" t="s">
        <v>308</v>
      </c>
      <c r="C80" s="20" t="s">
        <v>239</v>
      </c>
      <c r="D80" s="20" t="s">
        <v>282</v>
      </c>
      <c r="E80" s="20" t="s">
        <v>81</v>
      </c>
      <c r="F80" s="20" t="s">
        <v>82</v>
      </c>
      <c r="G80" s="20" t="n">
        <v>3</v>
      </c>
      <c r="H80" s="20" t="n">
        <v>22</v>
      </c>
      <c r="I80" s="20" t="s">
        <v>50</v>
      </c>
    </row>
    <row r="81" customFormat="false" ht="15" hidden="false" customHeight="false" outlineLevel="0" collapsed="false">
      <c r="A81" s="20" t="s">
        <v>309</v>
      </c>
      <c r="B81" s="20" t="s">
        <v>310</v>
      </c>
      <c r="C81" s="20" t="s">
        <v>64</v>
      </c>
      <c r="D81" s="20" t="s">
        <v>47</v>
      </c>
      <c r="E81" s="20" t="s">
        <v>81</v>
      </c>
      <c r="F81" s="20" t="s">
        <v>61</v>
      </c>
      <c r="G81" s="20" t="n">
        <v>1</v>
      </c>
      <c r="H81" s="20" t="s">
        <v>88</v>
      </c>
      <c r="I81" s="20" t="s">
        <v>50</v>
      </c>
    </row>
    <row r="82" customFormat="false" ht="15" hidden="false" customHeight="false" outlineLevel="0" collapsed="false">
      <c r="A82" s="20" t="s">
        <v>311</v>
      </c>
      <c r="B82" s="20" t="s">
        <v>312</v>
      </c>
      <c r="C82" s="20" t="s">
        <v>86</v>
      </c>
      <c r="D82" s="20" t="s">
        <v>59</v>
      </c>
      <c r="E82" s="20" t="s">
        <v>48</v>
      </c>
      <c r="F82" s="20" t="s">
        <v>144</v>
      </c>
      <c r="G82" s="20" t="n">
        <v>1</v>
      </c>
      <c r="H82" s="20" t="n">
        <v>54</v>
      </c>
      <c r="I82" s="20" t="s">
        <v>50</v>
      </c>
    </row>
    <row r="83" customFormat="false" ht="15" hidden="false" customHeight="false" outlineLevel="0" collapsed="false">
      <c r="A83" s="20" t="s">
        <v>313</v>
      </c>
      <c r="B83" s="21" t="n">
        <v>45728</v>
      </c>
      <c r="C83" s="20" t="s">
        <v>80</v>
      </c>
      <c r="D83" s="20" t="s">
        <v>70</v>
      </c>
      <c r="E83" s="20" t="s">
        <v>81</v>
      </c>
      <c r="F83" s="20" t="s">
        <v>82</v>
      </c>
      <c r="G83" s="20" t="n">
        <v>1</v>
      </c>
      <c r="H83" s="20" t="n">
        <v>22</v>
      </c>
      <c r="I83" s="20" t="s">
        <v>50</v>
      </c>
    </row>
    <row r="84" customFormat="false" ht="15" hidden="false" customHeight="false" outlineLevel="0" collapsed="false">
      <c r="A84" s="20" t="s">
        <v>314</v>
      </c>
      <c r="B84" s="20" t="s">
        <v>315</v>
      </c>
      <c r="C84" s="20" t="s">
        <v>153</v>
      </c>
      <c r="D84" s="20" t="s">
        <v>47</v>
      </c>
      <c r="E84" s="20" t="s">
        <v>110</v>
      </c>
      <c r="F84" s="20" t="s">
        <v>121</v>
      </c>
      <c r="G84" s="20" t="n">
        <v>1</v>
      </c>
      <c r="H84" s="20" t="n">
        <v>21</v>
      </c>
      <c r="I84" s="20" t="s">
        <v>50</v>
      </c>
    </row>
    <row r="85" customFormat="false" ht="15" hidden="false" customHeight="false" outlineLevel="0" collapsed="false">
      <c r="A85" s="20" t="s">
        <v>316</v>
      </c>
      <c r="B85" s="20" t="s">
        <v>317</v>
      </c>
      <c r="C85" s="20" t="s">
        <v>318</v>
      </c>
      <c r="D85" s="20" t="s">
        <v>319</v>
      </c>
      <c r="E85" s="20" t="s">
        <v>92</v>
      </c>
      <c r="F85" s="20" t="s">
        <v>196</v>
      </c>
      <c r="G85" s="20" t="n">
        <v>1</v>
      </c>
      <c r="H85" s="20" t="n">
        <v>89</v>
      </c>
      <c r="I85" s="20" t="s">
        <v>320</v>
      </c>
    </row>
    <row r="86" customFormat="false" ht="15" hidden="false" customHeight="false" outlineLevel="0" collapsed="false">
      <c r="A86" s="20" t="s">
        <v>321</v>
      </c>
      <c r="B86" s="20" t="s">
        <v>322</v>
      </c>
      <c r="C86" s="20" t="s">
        <v>323</v>
      </c>
      <c r="D86" s="20" t="s">
        <v>47</v>
      </c>
      <c r="E86" s="20" t="s">
        <v>92</v>
      </c>
      <c r="F86" s="20" t="s">
        <v>196</v>
      </c>
      <c r="G86" s="20" t="n">
        <v>1</v>
      </c>
      <c r="H86" s="20" t="n">
        <v>89</v>
      </c>
      <c r="I86" s="20" t="s">
        <v>50</v>
      </c>
    </row>
    <row r="87" customFormat="false" ht="15" hidden="false" customHeight="false" outlineLevel="0" collapsed="false">
      <c r="A87" s="20" t="s">
        <v>324</v>
      </c>
      <c r="B87" s="20" t="s">
        <v>325</v>
      </c>
      <c r="C87" s="20" t="s">
        <v>326</v>
      </c>
      <c r="D87" s="20" t="s">
        <v>157</v>
      </c>
      <c r="E87" s="20" t="s">
        <v>92</v>
      </c>
      <c r="F87" s="20" t="s">
        <v>93</v>
      </c>
      <c r="G87" s="20" t="n">
        <v>1</v>
      </c>
      <c r="H87" s="20" t="s">
        <v>94</v>
      </c>
      <c r="I87" s="20" t="s">
        <v>50</v>
      </c>
    </row>
    <row r="88" customFormat="false" ht="15" hidden="false" customHeight="false" outlineLevel="0" collapsed="false">
      <c r="A88" s="20" t="s">
        <v>327</v>
      </c>
      <c r="B88" s="20" t="s">
        <v>328</v>
      </c>
      <c r="C88" s="20" t="s">
        <v>318</v>
      </c>
      <c r="D88" s="20" t="s">
        <v>65</v>
      </c>
      <c r="E88" s="20" t="s">
        <v>110</v>
      </c>
      <c r="F88" s="20" t="s">
        <v>111</v>
      </c>
      <c r="G88" s="20" t="n">
        <v>2</v>
      </c>
      <c r="H88" s="20" t="s">
        <v>329</v>
      </c>
      <c r="I88" s="20" t="s">
        <v>50</v>
      </c>
    </row>
    <row r="89" customFormat="false" ht="15" hidden="false" customHeight="false" outlineLevel="0" collapsed="false">
      <c r="A89" s="20" t="s">
        <v>330</v>
      </c>
      <c r="B89" s="20" t="s">
        <v>331</v>
      </c>
      <c r="C89" s="20" t="s">
        <v>332</v>
      </c>
      <c r="D89" s="20" t="s">
        <v>47</v>
      </c>
      <c r="E89" s="20" t="s">
        <v>81</v>
      </c>
      <c r="F89" s="20" t="s">
        <v>61</v>
      </c>
      <c r="G89" s="20" t="n">
        <v>2</v>
      </c>
      <c r="H89" s="20" t="n">
        <v>35</v>
      </c>
      <c r="I89" s="20" t="s">
        <v>50</v>
      </c>
    </row>
    <row r="90" customFormat="false" ht="15" hidden="false" customHeight="false" outlineLevel="0" collapsed="false">
      <c r="A90" s="20" t="s">
        <v>333</v>
      </c>
      <c r="B90" s="20" t="s">
        <v>334</v>
      </c>
      <c r="C90" s="20" t="s">
        <v>335</v>
      </c>
      <c r="D90" s="20" t="s">
        <v>109</v>
      </c>
      <c r="E90" s="20" t="s">
        <v>92</v>
      </c>
      <c r="F90" s="20" t="s">
        <v>93</v>
      </c>
      <c r="G90" s="20" t="n">
        <v>1</v>
      </c>
      <c r="H90" s="20" t="n">
        <v>15</v>
      </c>
      <c r="I90" s="20" t="s">
        <v>50</v>
      </c>
    </row>
    <row r="91" customFormat="false" ht="15" hidden="false" customHeight="false" outlineLevel="0" collapsed="false">
      <c r="A91" s="20" t="s">
        <v>336</v>
      </c>
      <c r="B91" s="20" t="s">
        <v>337</v>
      </c>
      <c r="C91" s="20" t="s">
        <v>338</v>
      </c>
      <c r="D91" s="20" t="s">
        <v>59</v>
      </c>
      <c r="E91" s="20" t="s">
        <v>48</v>
      </c>
      <c r="F91" s="20" t="s">
        <v>144</v>
      </c>
      <c r="G91" s="20" t="n">
        <v>1</v>
      </c>
      <c r="H91" s="20" t="n">
        <v>54</v>
      </c>
      <c r="I91" s="20" t="s">
        <v>50</v>
      </c>
    </row>
    <row r="92" customFormat="false" ht="15" hidden="false" customHeight="false" outlineLevel="0" collapsed="false">
      <c r="A92" s="20" t="s">
        <v>339</v>
      </c>
      <c r="B92" s="20" t="s">
        <v>340</v>
      </c>
      <c r="C92" s="20" t="s">
        <v>214</v>
      </c>
      <c r="D92" s="20" t="s">
        <v>70</v>
      </c>
      <c r="E92" s="20" t="s">
        <v>48</v>
      </c>
      <c r="F92" s="20" t="s">
        <v>144</v>
      </c>
      <c r="G92" s="20" t="n">
        <v>2</v>
      </c>
      <c r="H92" s="20" t="n">
        <v>54</v>
      </c>
      <c r="I92" s="20" t="s">
        <v>50</v>
      </c>
    </row>
    <row r="93" customFormat="false" ht="15" hidden="false" customHeight="false" outlineLevel="0" collapsed="false">
      <c r="A93" s="20" t="s">
        <v>341</v>
      </c>
      <c r="B93" s="20" t="s">
        <v>342</v>
      </c>
      <c r="C93" s="20" t="s">
        <v>69</v>
      </c>
      <c r="D93" s="20" t="s">
        <v>47</v>
      </c>
      <c r="E93" s="20" t="s">
        <v>92</v>
      </c>
      <c r="F93" s="20" t="s">
        <v>93</v>
      </c>
      <c r="G93" s="20" t="n">
        <v>1</v>
      </c>
      <c r="H93" s="20" t="n">
        <v>15</v>
      </c>
      <c r="I93" s="20" t="s">
        <v>50</v>
      </c>
    </row>
    <row r="94" customFormat="false" ht="15" hidden="false" customHeight="false" outlineLevel="0" collapsed="false">
      <c r="A94" s="20" t="s">
        <v>343</v>
      </c>
      <c r="B94" s="21" t="n">
        <v>45882</v>
      </c>
      <c r="C94" s="20" t="s">
        <v>344</v>
      </c>
      <c r="D94" s="20" t="s">
        <v>345</v>
      </c>
      <c r="E94" s="20" t="s">
        <v>81</v>
      </c>
      <c r="F94" s="20" t="s">
        <v>82</v>
      </c>
      <c r="G94" s="20" t="n">
        <v>1</v>
      </c>
      <c r="H94" s="20" t="s">
        <v>154</v>
      </c>
      <c r="I94" s="20" t="s">
        <v>112</v>
      </c>
    </row>
    <row r="95" customFormat="false" ht="15" hidden="false" customHeight="false" outlineLevel="0" collapsed="false">
      <c r="A95" s="20" t="s">
        <v>346</v>
      </c>
      <c r="B95" s="20" t="s">
        <v>347</v>
      </c>
      <c r="C95" s="20" t="s">
        <v>348</v>
      </c>
      <c r="D95" s="20" t="s">
        <v>47</v>
      </c>
      <c r="E95" s="20" t="s">
        <v>48</v>
      </c>
      <c r="F95" s="20" t="s">
        <v>49</v>
      </c>
      <c r="G95" s="20" t="n">
        <v>1</v>
      </c>
      <c r="H95" s="20" t="n">
        <v>18</v>
      </c>
      <c r="I95" s="20" t="s">
        <v>50</v>
      </c>
    </row>
    <row r="96" customFormat="false" ht="15" hidden="false" customHeight="false" outlineLevel="0" collapsed="false">
      <c r="A96" s="20" t="s">
        <v>349</v>
      </c>
      <c r="B96" s="20" t="s">
        <v>350</v>
      </c>
      <c r="C96" s="20" t="s">
        <v>239</v>
      </c>
      <c r="D96" s="20" t="s">
        <v>70</v>
      </c>
      <c r="E96" s="20" t="s">
        <v>71</v>
      </c>
      <c r="F96" s="20" t="s">
        <v>72</v>
      </c>
      <c r="G96" s="20" t="n">
        <v>1</v>
      </c>
      <c r="H96" s="20" t="n">
        <v>24</v>
      </c>
      <c r="I96" s="20" t="s">
        <v>50</v>
      </c>
    </row>
    <row r="97" customFormat="false" ht="15" hidden="false" customHeight="false" outlineLevel="0" collapsed="false">
      <c r="A97" s="20" t="s">
        <v>351</v>
      </c>
      <c r="B97" s="21" t="n">
        <v>45931</v>
      </c>
      <c r="C97" s="20" t="s">
        <v>174</v>
      </c>
      <c r="D97" s="20" t="s">
        <v>171</v>
      </c>
      <c r="E97" s="20" t="s">
        <v>48</v>
      </c>
      <c r="F97" s="20" t="s">
        <v>144</v>
      </c>
      <c r="G97" s="20" t="n">
        <v>3</v>
      </c>
      <c r="H97" s="20" t="n">
        <v>54</v>
      </c>
      <c r="I97" s="20" t="s">
        <v>50</v>
      </c>
    </row>
    <row r="98" customFormat="false" ht="15" hidden="false" customHeight="false" outlineLevel="0" collapsed="false">
      <c r="A98" s="20" t="s">
        <v>352</v>
      </c>
      <c r="B98" s="20" t="s">
        <v>353</v>
      </c>
      <c r="C98" s="20" t="s">
        <v>214</v>
      </c>
      <c r="D98" s="20" t="s">
        <v>47</v>
      </c>
      <c r="E98" s="20" t="s">
        <v>92</v>
      </c>
      <c r="F98" s="20" t="s">
        <v>93</v>
      </c>
      <c r="G98" s="20" t="n">
        <v>2</v>
      </c>
      <c r="H98" s="20" t="s">
        <v>94</v>
      </c>
      <c r="I98" s="20" t="s">
        <v>50</v>
      </c>
    </row>
    <row r="99" customFormat="false" ht="15" hidden="false" customHeight="false" outlineLevel="0" collapsed="false">
      <c r="A99" s="20" t="s">
        <v>354</v>
      </c>
      <c r="B99" s="21" t="n">
        <v>45702</v>
      </c>
      <c r="C99" s="20" t="s">
        <v>174</v>
      </c>
      <c r="D99" s="20" t="s">
        <v>47</v>
      </c>
      <c r="E99" s="20" t="s">
        <v>228</v>
      </c>
      <c r="F99" s="20" t="s">
        <v>116</v>
      </c>
      <c r="G99" s="20" t="n">
        <v>2</v>
      </c>
      <c r="H99" s="20" t="s">
        <v>162</v>
      </c>
      <c r="I99" s="20" t="s">
        <v>163</v>
      </c>
    </row>
    <row r="100" customFormat="false" ht="15" hidden="false" customHeight="false" outlineLevel="0" collapsed="false">
      <c r="A100" s="20" t="s">
        <v>355</v>
      </c>
      <c r="B100" s="20" t="s">
        <v>356</v>
      </c>
      <c r="C100" s="20" t="s">
        <v>357</v>
      </c>
      <c r="D100" s="20" t="s">
        <v>109</v>
      </c>
      <c r="E100" s="20" t="s">
        <v>48</v>
      </c>
      <c r="F100" s="20" t="s">
        <v>116</v>
      </c>
      <c r="G100" s="20" t="n">
        <v>1</v>
      </c>
      <c r="H100" s="20" t="n">
        <v>28</v>
      </c>
      <c r="I100" s="20" t="s">
        <v>112</v>
      </c>
    </row>
    <row r="101" customFormat="false" ht="15" hidden="false" customHeight="false" outlineLevel="0" collapsed="false">
      <c r="A101" s="20" t="s">
        <v>358</v>
      </c>
      <c r="B101" s="20" t="s">
        <v>359</v>
      </c>
      <c r="C101" s="20" t="s">
        <v>186</v>
      </c>
      <c r="D101" s="20" t="s">
        <v>109</v>
      </c>
      <c r="E101" s="20" t="s">
        <v>54</v>
      </c>
      <c r="F101" s="20" t="s">
        <v>55</v>
      </c>
      <c r="G101" s="20" t="n">
        <v>3</v>
      </c>
      <c r="H101" s="20" t="n">
        <v>38</v>
      </c>
      <c r="I101" s="20" t="s">
        <v>50</v>
      </c>
    </row>
    <row r="102" customFormat="false" ht="15" hidden="false" customHeight="false" outlineLevel="0" collapsed="false">
      <c r="A102" s="20" t="s">
        <v>274</v>
      </c>
      <c r="B102" s="20" t="s">
        <v>275</v>
      </c>
      <c r="C102" s="20" t="s">
        <v>64</v>
      </c>
      <c r="D102" s="20" t="s">
        <v>109</v>
      </c>
      <c r="E102" s="20" t="s">
        <v>81</v>
      </c>
      <c r="F102" s="20" t="s">
        <v>61</v>
      </c>
      <c r="G102" s="20" t="n">
        <v>2</v>
      </c>
      <c r="H102" s="20" t="s">
        <v>88</v>
      </c>
      <c r="I102" s="20" t="s">
        <v>50</v>
      </c>
    </row>
    <row r="103" customFormat="false" ht="15" hidden="false" customHeight="false" outlineLevel="0" collapsed="false">
      <c r="A103" s="20" t="s">
        <v>360</v>
      </c>
      <c r="B103" s="20" t="s">
        <v>361</v>
      </c>
      <c r="C103" s="20" t="s">
        <v>362</v>
      </c>
      <c r="D103" s="20" t="s">
        <v>109</v>
      </c>
      <c r="E103" s="20" t="s">
        <v>81</v>
      </c>
      <c r="F103" s="20" t="s">
        <v>82</v>
      </c>
      <c r="G103" s="20" t="n">
        <v>1</v>
      </c>
      <c r="H103" s="20" t="n">
        <v>22</v>
      </c>
      <c r="I103" s="20" t="s">
        <v>50</v>
      </c>
    </row>
    <row r="104" customFormat="false" ht="15" hidden="false" customHeight="false" outlineLevel="0" collapsed="false">
      <c r="A104" s="20" t="s">
        <v>363</v>
      </c>
      <c r="B104" s="20" t="s">
        <v>364</v>
      </c>
      <c r="C104" s="20" t="s">
        <v>69</v>
      </c>
      <c r="D104" s="20" t="s">
        <v>319</v>
      </c>
      <c r="E104" s="20" t="s">
        <v>54</v>
      </c>
      <c r="F104" s="20" t="s">
        <v>55</v>
      </c>
      <c r="G104" s="20" t="n">
        <v>3</v>
      </c>
      <c r="H104" s="20" t="n">
        <v>38</v>
      </c>
      <c r="I104" s="20" t="s">
        <v>50</v>
      </c>
    </row>
    <row r="105" customFormat="false" ht="15" hidden="false" customHeight="false" outlineLevel="0" collapsed="false">
      <c r="A105" s="20" t="s">
        <v>365</v>
      </c>
      <c r="B105" s="20" t="s">
        <v>366</v>
      </c>
      <c r="C105" s="20" t="s">
        <v>367</v>
      </c>
      <c r="D105" s="20" t="s">
        <v>65</v>
      </c>
      <c r="E105" s="20" t="s">
        <v>92</v>
      </c>
      <c r="F105" s="20" t="s">
        <v>105</v>
      </c>
      <c r="G105" s="20" t="n">
        <v>1</v>
      </c>
      <c r="H105" s="20" t="n">
        <v>49</v>
      </c>
      <c r="I105" s="20" t="s">
        <v>50</v>
      </c>
    </row>
    <row r="106" customFormat="false" ht="15" hidden="false" customHeight="false" outlineLevel="0" collapsed="false">
      <c r="A106" s="20" t="s">
        <v>302</v>
      </c>
      <c r="B106" s="20" t="s">
        <v>303</v>
      </c>
      <c r="C106" s="20" t="s">
        <v>304</v>
      </c>
      <c r="D106" s="20" t="s">
        <v>70</v>
      </c>
      <c r="E106" s="20" t="s">
        <v>81</v>
      </c>
      <c r="F106" s="20" t="s">
        <v>61</v>
      </c>
      <c r="G106" s="20" t="n">
        <v>2</v>
      </c>
      <c r="H106" s="20" t="n">
        <v>35</v>
      </c>
      <c r="I106" s="20" t="s">
        <v>50</v>
      </c>
    </row>
    <row r="107" customFormat="false" ht="15" hidden="false" customHeight="false" outlineLevel="0" collapsed="false">
      <c r="A107" s="20" t="s">
        <v>368</v>
      </c>
      <c r="B107" s="20" t="s">
        <v>369</v>
      </c>
      <c r="C107" s="20" t="s">
        <v>214</v>
      </c>
      <c r="D107" s="20" t="s">
        <v>47</v>
      </c>
      <c r="E107" s="20" t="s">
        <v>110</v>
      </c>
      <c r="F107" s="20" t="s">
        <v>111</v>
      </c>
      <c r="G107" s="20" t="n">
        <v>2</v>
      </c>
      <c r="H107" s="20" t="n">
        <v>16</v>
      </c>
      <c r="I107" s="20" t="s">
        <v>50</v>
      </c>
    </row>
    <row r="108" customFormat="false" ht="15" hidden="false" customHeight="false" outlineLevel="0" collapsed="false">
      <c r="A108" s="20" t="s">
        <v>370</v>
      </c>
      <c r="B108" s="20" t="s">
        <v>371</v>
      </c>
      <c r="C108" s="20" t="s">
        <v>286</v>
      </c>
      <c r="D108" s="20" t="s">
        <v>47</v>
      </c>
      <c r="E108" s="20" t="s">
        <v>372</v>
      </c>
      <c r="F108" s="20" t="s">
        <v>121</v>
      </c>
      <c r="G108" s="20" t="n">
        <v>2</v>
      </c>
      <c r="H108" s="20" t="n">
        <v>21</v>
      </c>
      <c r="I108" s="20" t="s">
        <v>50</v>
      </c>
    </row>
    <row r="109" customFormat="false" ht="15" hidden="false" customHeight="false" outlineLevel="0" collapsed="false">
      <c r="A109" s="20" t="s">
        <v>373</v>
      </c>
      <c r="B109" s="20" t="s">
        <v>374</v>
      </c>
      <c r="C109" s="20" t="s">
        <v>375</v>
      </c>
      <c r="D109" s="20" t="s">
        <v>109</v>
      </c>
      <c r="E109" s="20" t="s">
        <v>48</v>
      </c>
      <c r="F109" s="20" t="s">
        <v>144</v>
      </c>
      <c r="G109" s="20" t="n">
        <v>4</v>
      </c>
      <c r="H109" s="20" t="s">
        <v>229</v>
      </c>
      <c r="I109" s="20" t="s">
        <v>50</v>
      </c>
    </row>
    <row r="110" customFormat="false" ht="15" hidden="false" customHeight="false" outlineLevel="0" collapsed="false">
      <c r="A110" s="20" t="s">
        <v>376</v>
      </c>
      <c r="B110" s="21" t="n">
        <v>45938</v>
      </c>
      <c r="C110" s="20" t="s">
        <v>377</v>
      </c>
      <c r="D110" s="20" t="s">
        <v>301</v>
      </c>
      <c r="E110" s="20" t="s">
        <v>66</v>
      </c>
      <c r="F110" s="20" t="s">
        <v>82</v>
      </c>
      <c r="G110" s="20" t="n">
        <v>2</v>
      </c>
      <c r="H110" s="20" t="n">
        <v>22</v>
      </c>
      <c r="I110" s="20" t="s">
        <v>50</v>
      </c>
    </row>
    <row r="111" customFormat="false" ht="15" hidden="false" customHeight="false" outlineLevel="0" collapsed="false">
      <c r="A111" s="20" t="s">
        <v>378</v>
      </c>
      <c r="B111" s="20" t="s">
        <v>379</v>
      </c>
      <c r="C111" s="20" t="s">
        <v>380</v>
      </c>
      <c r="D111" s="20" t="s">
        <v>65</v>
      </c>
      <c r="E111" s="20" t="s">
        <v>48</v>
      </c>
      <c r="F111" s="20" t="s">
        <v>49</v>
      </c>
      <c r="G111" s="20" t="n">
        <v>1</v>
      </c>
      <c r="H111" s="20" t="s">
        <v>180</v>
      </c>
      <c r="I111" s="20" t="s">
        <v>163</v>
      </c>
    </row>
    <row r="112" customFormat="false" ht="15" hidden="false" customHeight="false" outlineLevel="0" collapsed="false">
      <c r="A112" s="20" t="s">
        <v>381</v>
      </c>
      <c r="B112" s="20" t="s">
        <v>382</v>
      </c>
      <c r="C112" s="20" t="s">
        <v>224</v>
      </c>
      <c r="D112" s="20" t="s">
        <v>70</v>
      </c>
      <c r="E112" s="20" t="s">
        <v>81</v>
      </c>
      <c r="F112" s="20" t="s">
        <v>61</v>
      </c>
      <c r="G112" s="20" t="n">
        <v>1</v>
      </c>
      <c r="H112" s="20" t="s">
        <v>88</v>
      </c>
      <c r="I112" s="20" t="s">
        <v>50</v>
      </c>
    </row>
    <row r="113" customFormat="false" ht="15" hidden="false" customHeight="false" outlineLevel="0" collapsed="false">
      <c r="A113" s="20" t="s">
        <v>383</v>
      </c>
      <c r="B113" s="20" t="s">
        <v>384</v>
      </c>
      <c r="C113" s="20" t="s">
        <v>296</v>
      </c>
      <c r="D113" s="20" t="s">
        <v>47</v>
      </c>
      <c r="E113" s="20" t="s">
        <v>54</v>
      </c>
      <c r="F113" s="20" t="s">
        <v>55</v>
      </c>
      <c r="G113" s="20" t="n">
        <v>1</v>
      </c>
      <c r="H113" s="20" t="s">
        <v>259</v>
      </c>
      <c r="I113" s="20" t="s">
        <v>50</v>
      </c>
    </row>
    <row r="114" customFormat="false" ht="15" hidden="false" customHeight="false" outlineLevel="0" collapsed="false">
      <c r="A114" s="20" t="s">
        <v>385</v>
      </c>
      <c r="B114" s="20" t="s">
        <v>386</v>
      </c>
      <c r="C114" s="20" t="s">
        <v>387</v>
      </c>
      <c r="D114" s="20" t="s">
        <v>47</v>
      </c>
      <c r="E114" s="20" t="s">
        <v>92</v>
      </c>
      <c r="F114" s="20" t="s">
        <v>196</v>
      </c>
      <c r="G114" s="20" t="n">
        <v>1</v>
      </c>
      <c r="H114" s="20" t="n">
        <v>89</v>
      </c>
      <c r="I114" s="20" t="s">
        <v>50</v>
      </c>
    </row>
    <row r="115" customFormat="false" ht="15" hidden="false" customHeight="false" outlineLevel="0" collapsed="false">
      <c r="A115" s="20" t="s">
        <v>388</v>
      </c>
      <c r="B115" s="20" t="s">
        <v>389</v>
      </c>
      <c r="C115" s="20" t="s">
        <v>233</v>
      </c>
      <c r="D115" s="20" t="s">
        <v>47</v>
      </c>
      <c r="E115" s="20" t="s">
        <v>372</v>
      </c>
      <c r="F115" s="20" t="s">
        <v>111</v>
      </c>
      <c r="G115" s="20" t="n">
        <v>1</v>
      </c>
      <c r="H115" s="20" t="n">
        <v>16</v>
      </c>
      <c r="I115" s="20" t="s">
        <v>50</v>
      </c>
    </row>
    <row r="116" customFormat="false" ht="15" hidden="false" customHeight="false" outlineLevel="0" collapsed="false">
      <c r="A116" s="20" t="s">
        <v>390</v>
      </c>
      <c r="B116" s="20" t="s">
        <v>391</v>
      </c>
      <c r="C116" s="20" t="s">
        <v>392</v>
      </c>
      <c r="D116" s="20" t="s">
        <v>47</v>
      </c>
      <c r="E116" s="20" t="s">
        <v>101</v>
      </c>
      <c r="F116" s="20" t="s">
        <v>144</v>
      </c>
      <c r="G116" s="20" t="n">
        <v>4</v>
      </c>
      <c r="H116" s="20" t="n">
        <v>54</v>
      </c>
      <c r="I116" s="20" t="s">
        <v>50</v>
      </c>
    </row>
    <row r="117" customFormat="false" ht="15" hidden="false" customHeight="false" outlineLevel="0" collapsed="false">
      <c r="A117" s="20" t="s">
        <v>393</v>
      </c>
      <c r="B117" s="20" t="s">
        <v>394</v>
      </c>
      <c r="C117" s="20" t="s">
        <v>192</v>
      </c>
      <c r="D117" s="20" t="s">
        <v>59</v>
      </c>
      <c r="E117" s="20" t="s">
        <v>48</v>
      </c>
      <c r="F117" s="20" t="s">
        <v>144</v>
      </c>
      <c r="G117" s="20" t="n">
        <v>1</v>
      </c>
      <c r="H117" s="20" t="n">
        <v>54</v>
      </c>
      <c r="I117" s="20" t="s">
        <v>50</v>
      </c>
    </row>
    <row r="118" customFormat="false" ht="15" hidden="false" customHeight="false" outlineLevel="0" collapsed="false">
      <c r="A118" s="20" t="s">
        <v>395</v>
      </c>
      <c r="B118" s="20" t="s">
        <v>396</v>
      </c>
      <c r="C118" s="20" t="s">
        <v>397</v>
      </c>
      <c r="D118" s="20" t="s">
        <v>70</v>
      </c>
      <c r="E118" s="20" t="s">
        <v>48</v>
      </c>
      <c r="F118" s="20" t="s">
        <v>49</v>
      </c>
      <c r="G118" s="20" t="n">
        <v>2</v>
      </c>
      <c r="H118" s="20" t="n">
        <v>18</v>
      </c>
      <c r="I118" s="20" t="s">
        <v>112</v>
      </c>
    </row>
    <row r="119" customFormat="false" ht="15" hidden="false" customHeight="false" outlineLevel="0" collapsed="false">
      <c r="A119" s="20" t="s">
        <v>398</v>
      </c>
      <c r="B119" s="20" t="s">
        <v>399</v>
      </c>
      <c r="C119" s="20" t="s">
        <v>216</v>
      </c>
      <c r="D119" s="20" t="s">
        <v>109</v>
      </c>
      <c r="E119" s="20" t="s">
        <v>110</v>
      </c>
      <c r="F119" s="20" t="s">
        <v>111</v>
      </c>
      <c r="G119" s="20" t="n">
        <v>1</v>
      </c>
      <c r="H119" s="20" t="n">
        <v>16</v>
      </c>
      <c r="I119" s="20" t="s">
        <v>50</v>
      </c>
    </row>
    <row r="120" customFormat="false" ht="15" hidden="false" customHeight="false" outlineLevel="0" collapsed="false">
      <c r="A120" s="20" t="s">
        <v>400</v>
      </c>
      <c r="B120" s="20" t="s">
        <v>401</v>
      </c>
      <c r="C120" s="20" t="s">
        <v>402</v>
      </c>
      <c r="D120" s="20" t="s">
        <v>403</v>
      </c>
      <c r="E120" s="20" t="s">
        <v>54</v>
      </c>
      <c r="F120" s="20" t="s">
        <v>55</v>
      </c>
      <c r="G120" s="20" t="n">
        <v>1</v>
      </c>
      <c r="H120" s="20" t="n">
        <v>38</v>
      </c>
      <c r="I120" s="20" t="s">
        <v>50</v>
      </c>
    </row>
    <row r="121" customFormat="false" ht="15" hidden="false" customHeight="false" outlineLevel="0" collapsed="false">
      <c r="A121" s="20" t="s">
        <v>404</v>
      </c>
      <c r="B121" s="20" t="s">
        <v>405</v>
      </c>
      <c r="C121" s="20" t="s">
        <v>143</v>
      </c>
      <c r="D121" s="20" t="s">
        <v>70</v>
      </c>
      <c r="E121" s="20" t="s">
        <v>110</v>
      </c>
      <c r="F121" s="20" t="s">
        <v>236</v>
      </c>
      <c r="G121" s="20" t="n">
        <v>2</v>
      </c>
      <c r="H121" s="20" t="n">
        <v>30</v>
      </c>
      <c r="I121" s="20" t="s">
        <v>50</v>
      </c>
    </row>
    <row r="122" customFormat="false" ht="15" hidden="false" customHeight="false" outlineLevel="0" collapsed="false">
      <c r="A122" s="20" t="s">
        <v>406</v>
      </c>
      <c r="B122" s="21" t="n">
        <v>45685</v>
      </c>
      <c r="C122" s="20" t="s">
        <v>143</v>
      </c>
      <c r="D122" s="20" t="s">
        <v>70</v>
      </c>
      <c r="E122" s="20" t="s">
        <v>48</v>
      </c>
      <c r="F122" s="20" t="s">
        <v>144</v>
      </c>
      <c r="G122" s="20" t="n">
        <v>2</v>
      </c>
      <c r="H122" s="20" t="n">
        <v>54</v>
      </c>
      <c r="I122" s="20" t="s">
        <v>50</v>
      </c>
    </row>
    <row r="123" customFormat="false" ht="15" hidden="false" customHeight="false" outlineLevel="0" collapsed="false">
      <c r="A123" s="20" t="s">
        <v>407</v>
      </c>
      <c r="B123" s="20" t="s">
        <v>408</v>
      </c>
      <c r="C123" s="20" t="s">
        <v>100</v>
      </c>
      <c r="D123" s="20" t="s">
        <v>47</v>
      </c>
      <c r="E123" s="20" t="s">
        <v>92</v>
      </c>
      <c r="F123" s="20" t="s">
        <v>93</v>
      </c>
      <c r="G123" s="20" t="n">
        <v>1</v>
      </c>
      <c r="H123" s="20" t="n">
        <v>15</v>
      </c>
      <c r="I123" s="20" t="s">
        <v>50</v>
      </c>
    </row>
    <row r="124" customFormat="false" ht="15" hidden="false" customHeight="false" outlineLevel="0" collapsed="false">
      <c r="A124" s="20" t="s">
        <v>409</v>
      </c>
      <c r="B124" s="21" t="n">
        <v>45762</v>
      </c>
      <c r="C124" s="20" t="s">
        <v>278</v>
      </c>
      <c r="D124" s="20" t="s">
        <v>70</v>
      </c>
      <c r="E124" s="20" t="s">
        <v>48</v>
      </c>
      <c r="F124" s="20" t="s">
        <v>49</v>
      </c>
      <c r="G124" s="20" t="n">
        <v>1</v>
      </c>
      <c r="H124" s="20" t="n">
        <v>18</v>
      </c>
      <c r="I124" s="20" t="s">
        <v>50</v>
      </c>
    </row>
    <row r="125" customFormat="false" ht="15" hidden="false" customHeight="false" outlineLevel="0" collapsed="false">
      <c r="A125" s="20" t="s">
        <v>410</v>
      </c>
      <c r="B125" s="20" t="s">
        <v>411</v>
      </c>
      <c r="C125" s="20" t="s">
        <v>412</v>
      </c>
      <c r="D125" s="20" t="s">
        <v>47</v>
      </c>
      <c r="E125" s="20" t="s">
        <v>54</v>
      </c>
      <c r="F125" s="20" t="s">
        <v>76</v>
      </c>
      <c r="G125" s="20" t="n">
        <v>3</v>
      </c>
      <c r="H125" s="20" t="n">
        <v>32</v>
      </c>
      <c r="I125" s="20" t="s">
        <v>50</v>
      </c>
    </row>
    <row r="126" customFormat="false" ht="15" hidden="false" customHeight="false" outlineLevel="0" collapsed="false">
      <c r="A126" s="20" t="s">
        <v>413</v>
      </c>
      <c r="B126" s="20" t="s">
        <v>414</v>
      </c>
      <c r="C126" s="20" t="s">
        <v>415</v>
      </c>
      <c r="D126" s="20" t="s">
        <v>301</v>
      </c>
      <c r="E126" s="20" t="s">
        <v>48</v>
      </c>
      <c r="F126" s="20" t="s">
        <v>116</v>
      </c>
      <c r="G126" s="20" t="n">
        <v>2</v>
      </c>
      <c r="H126" s="20" t="n">
        <v>28</v>
      </c>
      <c r="I126" s="20" t="s">
        <v>50</v>
      </c>
    </row>
    <row r="127" customFormat="false" ht="15" hidden="false" customHeight="false" outlineLevel="0" collapsed="false">
      <c r="A127" s="20" t="s">
        <v>416</v>
      </c>
      <c r="B127" s="20" t="s">
        <v>417</v>
      </c>
      <c r="C127" s="20" t="s">
        <v>75</v>
      </c>
      <c r="D127" s="20" t="s">
        <v>47</v>
      </c>
      <c r="E127" s="20" t="s">
        <v>92</v>
      </c>
      <c r="F127" s="20" t="s">
        <v>105</v>
      </c>
      <c r="G127" s="20" t="n">
        <v>1</v>
      </c>
      <c r="H127" s="20" t="n">
        <v>49</v>
      </c>
      <c r="I127" s="20" t="s">
        <v>50</v>
      </c>
    </row>
    <row r="128" customFormat="false" ht="15" hidden="false" customHeight="false" outlineLevel="0" collapsed="false">
      <c r="A128" s="20" t="s">
        <v>418</v>
      </c>
      <c r="B128" s="20" t="s">
        <v>419</v>
      </c>
      <c r="C128" s="20" t="s">
        <v>186</v>
      </c>
      <c r="D128" s="20" t="s">
        <v>47</v>
      </c>
      <c r="E128" s="20" t="s">
        <v>110</v>
      </c>
      <c r="F128" s="20" t="s">
        <v>121</v>
      </c>
      <c r="G128" s="20" t="n">
        <v>1</v>
      </c>
      <c r="H128" s="20" t="n">
        <v>21</v>
      </c>
      <c r="I128" s="20" t="s">
        <v>50</v>
      </c>
    </row>
    <row r="129" customFormat="false" ht="15" hidden="false" customHeight="false" outlineLevel="0" collapsed="false">
      <c r="A129" s="20" t="s">
        <v>420</v>
      </c>
      <c r="B129" s="20" t="s">
        <v>421</v>
      </c>
      <c r="C129" s="20" t="s">
        <v>422</v>
      </c>
      <c r="D129" s="20" t="s">
        <v>70</v>
      </c>
      <c r="E129" s="20" t="s">
        <v>92</v>
      </c>
      <c r="F129" s="20" t="s">
        <v>93</v>
      </c>
      <c r="G129" s="20" t="n">
        <v>2</v>
      </c>
      <c r="H129" s="20" t="s">
        <v>94</v>
      </c>
      <c r="I129" s="20" t="s">
        <v>136</v>
      </c>
    </row>
    <row r="130" customFormat="false" ht="15" hidden="false" customHeight="false" outlineLevel="0" collapsed="false">
      <c r="A130" s="20" t="s">
        <v>423</v>
      </c>
      <c r="B130" s="20" t="s">
        <v>128</v>
      </c>
      <c r="C130" s="20" t="s">
        <v>424</v>
      </c>
      <c r="D130" s="20" t="s">
        <v>87</v>
      </c>
      <c r="E130" s="20" t="s">
        <v>48</v>
      </c>
      <c r="F130" s="20" t="s">
        <v>144</v>
      </c>
      <c r="G130" s="20" t="n">
        <v>1</v>
      </c>
      <c r="H130" s="20" t="n">
        <v>54</v>
      </c>
      <c r="I130" s="20" t="s">
        <v>50</v>
      </c>
    </row>
    <row r="131" customFormat="false" ht="15" hidden="false" customHeight="false" outlineLevel="0" collapsed="false">
      <c r="A131" s="20" t="s">
        <v>425</v>
      </c>
      <c r="B131" s="20" t="s">
        <v>238</v>
      </c>
      <c r="C131" s="20" t="s">
        <v>323</v>
      </c>
      <c r="D131" s="20" t="s">
        <v>59</v>
      </c>
      <c r="E131" s="20" t="s">
        <v>92</v>
      </c>
      <c r="F131" s="20" t="s">
        <v>196</v>
      </c>
      <c r="G131" s="20" t="n">
        <v>2</v>
      </c>
      <c r="H131" s="20" t="s">
        <v>220</v>
      </c>
      <c r="I131" s="20" t="s">
        <v>112</v>
      </c>
    </row>
    <row r="132" customFormat="false" ht="15" hidden="false" customHeight="false" outlineLevel="0" collapsed="false">
      <c r="A132" s="20" t="s">
        <v>426</v>
      </c>
      <c r="B132" s="20" t="s">
        <v>427</v>
      </c>
      <c r="C132" s="20" t="s">
        <v>428</v>
      </c>
      <c r="D132" s="20" t="s">
        <v>47</v>
      </c>
      <c r="E132" s="20" t="s">
        <v>228</v>
      </c>
      <c r="F132" s="20" t="s">
        <v>144</v>
      </c>
      <c r="G132" s="20" t="n">
        <v>1</v>
      </c>
      <c r="H132" s="20" t="s">
        <v>229</v>
      </c>
      <c r="I132" s="20" t="s">
        <v>50</v>
      </c>
    </row>
    <row r="133" customFormat="false" ht="15" hidden="false" customHeight="false" outlineLevel="0" collapsed="false">
      <c r="A133" s="20" t="s">
        <v>429</v>
      </c>
      <c r="B133" s="20" t="s">
        <v>430</v>
      </c>
      <c r="C133" s="20" t="s">
        <v>431</v>
      </c>
      <c r="D133" s="20" t="s">
        <v>65</v>
      </c>
      <c r="E133" s="20" t="s">
        <v>110</v>
      </c>
      <c r="F133" s="20" t="s">
        <v>111</v>
      </c>
      <c r="G133" s="20" t="n">
        <v>1</v>
      </c>
      <c r="H133" s="20" t="n">
        <v>16</v>
      </c>
      <c r="I133" s="20" t="s">
        <v>50</v>
      </c>
    </row>
    <row r="134" customFormat="false" ht="15" hidden="false" customHeight="false" outlineLevel="0" collapsed="false">
      <c r="A134" s="20" t="s">
        <v>432</v>
      </c>
      <c r="B134" s="21" t="n">
        <v>45906</v>
      </c>
      <c r="C134" s="20" t="s">
        <v>402</v>
      </c>
      <c r="D134" s="20" t="s">
        <v>70</v>
      </c>
      <c r="E134" s="20" t="s">
        <v>297</v>
      </c>
      <c r="F134" s="20" t="s">
        <v>111</v>
      </c>
      <c r="G134" s="20" t="n">
        <v>1</v>
      </c>
      <c r="H134" s="20" t="n">
        <v>16</v>
      </c>
      <c r="I134" s="20" t="s">
        <v>199</v>
      </c>
    </row>
    <row r="135" customFormat="false" ht="15" hidden="false" customHeight="false" outlineLevel="0" collapsed="false">
      <c r="A135" s="20" t="s">
        <v>433</v>
      </c>
      <c r="B135" s="20" t="s">
        <v>434</v>
      </c>
      <c r="C135" s="20" t="s">
        <v>318</v>
      </c>
      <c r="D135" s="20" t="s">
        <v>47</v>
      </c>
      <c r="E135" s="20" t="s">
        <v>92</v>
      </c>
      <c r="F135" s="20" t="s">
        <v>105</v>
      </c>
      <c r="G135" s="20" t="n">
        <v>2</v>
      </c>
      <c r="H135" s="20" t="s">
        <v>126</v>
      </c>
      <c r="I135" s="20" t="s">
        <v>50</v>
      </c>
    </row>
    <row r="136" customFormat="false" ht="15" hidden="false" customHeight="false" outlineLevel="0" collapsed="false">
      <c r="A136" s="20" t="s">
        <v>435</v>
      </c>
      <c r="B136" s="20" t="s">
        <v>436</v>
      </c>
      <c r="C136" s="20" t="s">
        <v>437</v>
      </c>
      <c r="D136" s="20" t="s">
        <v>70</v>
      </c>
      <c r="E136" s="20" t="s">
        <v>54</v>
      </c>
      <c r="F136" s="20" t="s">
        <v>76</v>
      </c>
      <c r="G136" s="20" t="n">
        <v>2</v>
      </c>
      <c r="H136" s="20" t="n">
        <v>32</v>
      </c>
      <c r="I136" s="20" t="s">
        <v>50</v>
      </c>
    </row>
    <row r="137" customFormat="false" ht="15" hidden="false" customHeight="false" outlineLevel="0" collapsed="false">
      <c r="A137" s="20" t="s">
        <v>438</v>
      </c>
      <c r="B137" s="20" t="s">
        <v>439</v>
      </c>
      <c r="C137" s="20" t="s">
        <v>392</v>
      </c>
      <c r="D137" s="20" t="s">
        <v>59</v>
      </c>
      <c r="E137" s="20" t="s">
        <v>110</v>
      </c>
      <c r="F137" s="20" t="s">
        <v>111</v>
      </c>
      <c r="G137" s="20" t="n">
        <v>3</v>
      </c>
      <c r="H137" s="20" t="n">
        <v>16</v>
      </c>
      <c r="I137" s="20" t="s">
        <v>199</v>
      </c>
    </row>
    <row r="138" customFormat="false" ht="15" hidden="false" customHeight="false" outlineLevel="0" collapsed="false">
      <c r="A138" s="20" t="s">
        <v>440</v>
      </c>
      <c r="B138" s="20" t="s">
        <v>441</v>
      </c>
      <c r="C138" s="20" t="s">
        <v>442</v>
      </c>
      <c r="D138" s="20" t="s">
        <v>87</v>
      </c>
      <c r="E138" s="20" t="s">
        <v>54</v>
      </c>
      <c r="F138" s="20" t="s">
        <v>76</v>
      </c>
      <c r="G138" s="20" t="n">
        <v>4</v>
      </c>
      <c r="H138" s="20" t="n">
        <v>32</v>
      </c>
      <c r="I138" s="20" t="s">
        <v>50</v>
      </c>
    </row>
    <row r="139" customFormat="false" ht="15" hidden="false" customHeight="false" outlineLevel="0" collapsed="false">
      <c r="A139" s="20" t="s">
        <v>443</v>
      </c>
      <c r="B139" s="21" t="n">
        <v>45741</v>
      </c>
      <c r="C139" s="20" t="s">
        <v>444</v>
      </c>
      <c r="D139" s="20" t="s">
        <v>47</v>
      </c>
      <c r="E139" s="20" t="s">
        <v>292</v>
      </c>
      <c r="F139" s="20" t="s">
        <v>76</v>
      </c>
      <c r="G139" s="20" t="n">
        <v>1</v>
      </c>
      <c r="H139" s="20" t="s">
        <v>77</v>
      </c>
      <c r="I139" s="20" t="s">
        <v>50</v>
      </c>
    </row>
    <row r="140" customFormat="false" ht="15" hidden="false" customHeight="false" outlineLevel="0" collapsed="false">
      <c r="A140" s="20" t="s">
        <v>445</v>
      </c>
      <c r="B140" s="20" t="s">
        <v>446</v>
      </c>
      <c r="C140" s="20" t="s">
        <v>447</v>
      </c>
      <c r="D140" s="20" t="s">
        <v>47</v>
      </c>
      <c r="E140" s="20" t="s">
        <v>92</v>
      </c>
      <c r="F140" s="20" t="s">
        <v>105</v>
      </c>
      <c r="G140" s="20" t="n">
        <v>1</v>
      </c>
      <c r="H140" s="20" t="n">
        <v>49</v>
      </c>
      <c r="I140" s="20" t="s">
        <v>112</v>
      </c>
    </row>
    <row r="141" customFormat="false" ht="15" hidden="false" customHeight="false" outlineLevel="0" collapsed="false">
      <c r="A141" s="20" t="s">
        <v>448</v>
      </c>
      <c r="B141" s="21" t="n">
        <v>45780</v>
      </c>
      <c r="C141" s="20" t="s">
        <v>80</v>
      </c>
      <c r="D141" s="20" t="s">
        <v>65</v>
      </c>
      <c r="E141" s="20" t="s">
        <v>167</v>
      </c>
      <c r="F141" s="20" t="s">
        <v>72</v>
      </c>
      <c r="G141" s="20" t="n">
        <v>1</v>
      </c>
      <c r="H141" s="20" t="n">
        <v>24</v>
      </c>
      <c r="I141" s="20" t="s">
        <v>50</v>
      </c>
    </row>
    <row r="142" customFormat="false" ht="15" hidden="false" customHeight="false" outlineLevel="0" collapsed="false">
      <c r="A142" s="20" t="s">
        <v>449</v>
      </c>
      <c r="B142" s="20" t="s">
        <v>450</v>
      </c>
      <c r="C142" s="20" t="s">
        <v>335</v>
      </c>
      <c r="D142" s="20" t="s">
        <v>47</v>
      </c>
      <c r="E142" s="20" t="s">
        <v>81</v>
      </c>
      <c r="F142" s="20" t="s">
        <v>67</v>
      </c>
      <c r="G142" s="20" t="n">
        <v>3</v>
      </c>
      <c r="H142" s="20" t="n">
        <v>45</v>
      </c>
      <c r="I142" s="20" t="s">
        <v>163</v>
      </c>
    </row>
    <row r="143" customFormat="false" ht="15" hidden="false" customHeight="false" outlineLevel="0" collapsed="false">
      <c r="A143" s="20" t="s">
        <v>451</v>
      </c>
      <c r="B143" s="20" t="s">
        <v>79</v>
      </c>
      <c r="C143" s="20" t="s">
        <v>412</v>
      </c>
      <c r="D143" s="20" t="s">
        <v>47</v>
      </c>
      <c r="E143" s="20" t="s">
        <v>110</v>
      </c>
      <c r="F143" s="20" t="s">
        <v>111</v>
      </c>
      <c r="G143" s="20" t="n">
        <v>1</v>
      </c>
      <c r="H143" s="20" t="s">
        <v>329</v>
      </c>
      <c r="I143" s="20" t="s">
        <v>50</v>
      </c>
    </row>
    <row r="144" customFormat="false" ht="15" hidden="false" customHeight="false" outlineLevel="0" collapsed="false">
      <c r="A144" s="20" t="s">
        <v>452</v>
      </c>
      <c r="B144" s="20" t="s">
        <v>453</v>
      </c>
      <c r="C144" s="20" t="s">
        <v>219</v>
      </c>
      <c r="D144" s="20" t="s">
        <v>59</v>
      </c>
      <c r="E144" s="20" t="s">
        <v>81</v>
      </c>
      <c r="F144" s="20" t="s">
        <v>67</v>
      </c>
      <c r="G144" s="20" t="n">
        <v>1</v>
      </c>
      <c r="H144" s="20" t="s">
        <v>135</v>
      </c>
      <c r="I144" s="20" t="s">
        <v>50</v>
      </c>
    </row>
    <row r="145" customFormat="false" ht="15" hidden="false" customHeight="false" outlineLevel="0" collapsed="false">
      <c r="A145" s="20" t="s">
        <v>454</v>
      </c>
      <c r="B145" s="20" t="s">
        <v>455</v>
      </c>
      <c r="C145" s="20" t="s">
        <v>291</v>
      </c>
      <c r="D145" s="20" t="s">
        <v>47</v>
      </c>
      <c r="E145" s="20" t="s">
        <v>92</v>
      </c>
      <c r="F145" s="20" t="s">
        <v>196</v>
      </c>
      <c r="G145" s="20" t="n">
        <v>1</v>
      </c>
      <c r="H145" s="20" t="s">
        <v>220</v>
      </c>
      <c r="I145" s="20" t="s">
        <v>50</v>
      </c>
    </row>
    <row r="146" customFormat="false" ht="15" hidden="false" customHeight="false" outlineLevel="0" collapsed="false">
      <c r="A146" s="20" t="s">
        <v>456</v>
      </c>
      <c r="B146" s="21" t="n">
        <v>45795</v>
      </c>
      <c r="C146" s="20" t="s">
        <v>457</v>
      </c>
      <c r="D146" s="20" t="s">
        <v>59</v>
      </c>
      <c r="E146" s="20" t="s">
        <v>81</v>
      </c>
      <c r="F146" s="20" t="s">
        <v>61</v>
      </c>
      <c r="G146" s="20" t="n">
        <v>2</v>
      </c>
      <c r="H146" s="20" t="n">
        <v>35</v>
      </c>
      <c r="I146" s="20" t="s">
        <v>50</v>
      </c>
    </row>
    <row r="147" customFormat="false" ht="15" hidden="false" customHeight="false" outlineLevel="0" collapsed="false">
      <c r="A147" s="20" t="s">
        <v>458</v>
      </c>
      <c r="B147" s="20" t="s">
        <v>459</v>
      </c>
      <c r="C147" s="20" t="s">
        <v>195</v>
      </c>
      <c r="D147" s="20" t="s">
        <v>65</v>
      </c>
      <c r="E147" s="20" t="s">
        <v>92</v>
      </c>
      <c r="F147" s="20" t="s">
        <v>105</v>
      </c>
      <c r="G147" s="20" t="n">
        <v>2</v>
      </c>
      <c r="H147" s="20" t="s">
        <v>126</v>
      </c>
      <c r="I147" s="20" t="s">
        <v>50</v>
      </c>
    </row>
    <row r="148" customFormat="false" ht="15" hidden="false" customHeight="false" outlineLevel="0" collapsed="false">
      <c r="A148" s="20" t="s">
        <v>460</v>
      </c>
      <c r="B148" s="20" t="s">
        <v>461</v>
      </c>
      <c r="C148" s="20" t="s">
        <v>58</v>
      </c>
      <c r="D148" s="20" t="s">
        <v>47</v>
      </c>
      <c r="E148" s="20" t="s">
        <v>92</v>
      </c>
      <c r="F148" s="20" t="s">
        <v>93</v>
      </c>
      <c r="G148" s="20" t="n">
        <v>2</v>
      </c>
      <c r="H148" s="20" t="n">
        <v>15</v>
      </c>
      <c r="I148" s="20" t="s">
        <v>163</v>
      </c>
    </row>
    <row r="149" customFormat="false" ht="15" hidden="false" customHeight="false" outlineLevel="0" collapsed="false">
      <c r="A149" s="20" t="s">
        <v>462</v>
      </c>
      <c r="B149" s="20" t="s">
        <v>463</v>
      </c>
      <c r="C149" s="20" t="s">
        <v>464</v>
      </c>
      <c r="D149" s="20" t="s">
        <v>157</v>
      </c>
      <c r="E149" s="20" t="s">
        <v>60</v>
      </c>
      <c r="F149" s="20" t="s">
        <v>61</v>
      </c>
      <c r="G149" s="20" t="n">
        <v>1</v>
      </c>
      <c r="H149" s="20" t="n">
        <v>35</v>
      </c>
      <c r="I149" s="20" t="s">
        <v>50</v>
      </c>
    </row>
    <row r="150" customFormat="false" ht="15" hidden="false" customHeight="false" outlineLevel="0" collapsed="false">
      <c r="A150" s="20" t="s">
        <v>465</v>
      </c>
      <c r="B150" s="20" t="s">
        <v>466</v>
      </c>
      <c r="C150" s="20" t="s">
        <v>86</v>
      </c>
      <c r="D150" s="20" t="s">
        <v>47</v>
      </c>
      <c r="E150" s="20" t="s">
        <v>54</v>
      </c>
      <c r="F150" s="20" t="s">
        <v>76</v>
      </c>
      <c r="G150" s="20" t="n">
        <v>2</v>
      </c>
      <c r="H150" s="20" t="n">
        <v>32</v>
      </c>
      <c r="I150" s="20" t="s">
        <v>50</v>
      </c>
    </row>
    <row r="151" customFormat="false" ht="15" hidden="false" customHeight="false" outlineLevel="0" collapsed="false">
      <c r="A151" s="20" t="s">
        <v>467</v>
      </c>
      <c r="B151" s="20" t="s">
        <v>468</v>
      </c>
      <c r="C151" s="20" t="s">
        <v>100</v>
      </c>
      <c r="D151" s="20" t="s">
        <v>47</v>
      </c>
      <c r="E151" s="20" t="s">
        <v>120</v>
      </c>
      <c r="F151" s="20" t="s">
        <v>111</v>
      </c>
      <c r="G151" s="20" t="n">
        <v>1</v>
      </c>
      <c r="H151" s="20" t="n">
        <v>16</v>
      </c>
      <c r="I151" s="20" t="s">
        <v>50</v>
      </c>
    </row>
    <row r="152" customFormat="false" ht="15" hidden="false" customHeight="false" outlineLevel="0" collapsed="false">
      <c r="A152" s="20" t="s">
        <v>469</v>
      </c>
      <c r="B152" s="21" t="n">
        <v>45679</v>
      </c>
      <c r="C152" s="20" t="s">
        <v>134</v>
      </c>
      <c r="D152" s="20" t="s">
        <v>47</v>
      </c>
      <c r="E152" s="20" t="s">
        <v>110</v>
      </c>
      <c r="F152" s="20" t="s">
        <v>121</v>
      </c>
      <c r="G152" s="20" t="n">
        <v>1</v>
      </c>
      <c r="H152" s="20" t="n">
        <v>21</v>
      </c>
      <c r="I152" s="20" t="s">
        <v>50</v>
      </c>
    </row>
    <row r="153" customFormat="false" ht="15" hidden="false" customHeight="false" outlineLevel="0" collapsed="false">
      <c r="A153" s="20" t="s">
        <v>470</v>
      </c>
      <c r="B153" s="20" t="s">
        <v>471</v>
      </c>
      <c r="C153" s="20" t="s">
        <v>115</v>
      </c>
      <c r="D153" s="20" t="s">
        <v>47</v>
      </c>
      <c r="E153" s="20" t="s">
        <v>54</v>
      </c>
      <c r="F153" s="20" t="s">
        <v>55</v>
      </c>
      <c r="G153" s="20" t="n">
        <v>4</v>
      </c>
      <c r="H153" s="20" t="n">
        <v>38</v>
      </c>
      <c r="I153" s="20" t="s">
        <v>50</v>
      </c>
    </row>
    <row r="154" customFormat="false" ht="15" hidden="false" customHeight="false" outlineLevel="0" collapsed="false">
      <c r="A154" s="20" t="s">
        <v>472</v>
      </c>
      <c r="B154" s="20" t="s">
        <v>473</v>
      </c>
      <c r="C154" s="20" t="s">
        <v>338</v>
      </c>
      <c r="D154" s="20" t="s">
        <v>47</v>
      </c>
      <c r="E154" s="20" t="s">
        <v>54</v>
      </c>
      <c r="F154" s="20" t="s">
        <v>55</v>
      </c>
      <c r="G154" s="20" t="n">
        <v>2</v>
      </c>
      <c r="H154" s="20" t="n">
        <v>38</v>
      </c>
      <c r="I154" s="20" t="s">
        <v>50</v>
      </c>
    </row>
    <row r="155" customFormat="false" ht="15" hidden="false" customHeight="false" outlineLevel="0" collapsed="false">
      <c r="A155" s="20" t="s">
        <v>474</v>
      </c>
      <c r="B155" s="20" t="s">
        <v>475</v>
      </c>
      <c r="C155" s="20" t="s">
        <v>476</v>
      </c>
      <c r="D155" s="20" t="s">
        <v>47</v>
      </c>
      <c r="E155" s="20" t="s">
        <v>54</v>
      </c>
      <c r="F155" s="20" t="s">
        <v>72</v>
      </c>
      <c r="G155" s="20" t="n">
        <v>1</v>
      </c>
      <c r="H155" s="20" t="s">
        <v>293</v>
      </c>
      <c r="I155" s="20" t="s">
        <v>50</v>
      </c>
    </row>
    <row r="156" customFormat="false" ht="15" hidden="false" customHeight="false" outlineLevel="0" collapsed="false">
      <c r="A156" s="20" t="s">
        <v>477</v>
      </c>
      <c r="B156" s="20" t="s">
        <v>478</v>
      </c>
      <c r="C156" s="20" t="s">
        <v>91</v>
      </c>
      <c r="D156" s="20" t="s">
        <v>70</v>
      </c>
      <c r="E156" s="20" t="s">
        <v>81</v>
      </c>
      <c r="F156" s="20" t="s">
        <v>82</v>
      </c>
      <c r="G156" s="20" t="n">
        <v>1</v>
      </c>
      <c r="H156" s="20" t="n">
        <v>22</v>
      </c>
      <c r="I156" s="20" t="s">
        <v>50</v>
      </c>
    </row>
    <row r="157" customFormat="false" ht="15" hidden="false" customHeight="false" outlineLevel="0" collapsed="false">
      <c r="A157" s="20" t="s">
        <v>479</v>
      </c>
      <c r="B157" s="20" t="s">
        <v>480</v>
      </c>
      <c r="C157" s="20" t="s">
        <v>397</v>
      </c>
      <c r="D157" s="20" t="s">
        <v>222</v>
      </c>
      <c r="E157" s="20" t="s">
        <v>48</v>
      </c>
      <c r="F157" s="20" t="s">
        <v>144</v>
      </c>
      <c r="G157" s="20" t="n">
        <v>1</v>
      </c>
      <c r="H157" s="20" t="n">
        <v>54</v>
      </c>
      <c r="I157" s="20" t="s">
        <v>50</v>
      </c>
    </row>
    <row r="158" customFormat="false" ht="15" hidden="false" customHeight="false" outlineLevel="0" collapsed="false">
      <c r="A158" s="20" t="s">
        <v>481</v>
      </c>
      <c r="B158" s="20" t="s">
        <v>482</v>
      </c>
      <c r="C158" s="20" t="s">
        <v>483</v>
      </c>
      <c r="D158" s="20" t="s">
        <v>70</v>
      </c>
      <c r="E158" s="20" t="s">
        <v>92</v>
      </c>
      <c r="F158" s="20" t="s">
        <v>105</v>
      </c>
      <c r="G158" s="20" t="n">
        <v>2</v>
      </c>
      <c r="H158" s="20" t="n">
        <v>49</v>
      </c>
      <c r="I158" s="20" t="s">
        <v>50</v>
      </c>
    </row>
    <row r="159" customFormat="false" ht="15" hidden="false" customHeight="false" outlineLevel="0" collapsed="false">
      <c r="A159" s="20" t="s">
        <v>484</v>
      </c>
      <c r="B159" s="20" t="s">
        <v>334</v>
      </c>
      <c r="C159" s="20" t="s">
        <v>424</v>
      </c>
      <c r="D159" s="20" t="s">
        <v>47</v>
      </c>
      <c r="E159" s="20" t="s">
        <v>234</v>
      </c>
      <c r="F159" s="20" t="s">
        <v>67</v>
      </c>
      <c r="G159" s="20" t="n">
        <v>4</v>
      </c>
      <c r="H159" s="20" t="s">
        <v>135</v>
      </c>
      <c r="I159" s="20" t="s">
        <v>50</v>
      </c>
    </row>
    <row r="160" customFormat="false" ht="15" hidden="false" customHeight="false" outlineLevel="0" collapsed="false">
      <c r="A160" s="20" t="s">
        <v>485</v>
      </c>
      <c r="B160" s="21" t="n">
        <v>45712</v>
      </c>
      <c r="C160" s="20" t="s">
        <v>486</v>
      </c>
      <c r="D160" s="20" t="s">
        <v>319</v>
      </c>
      <c r="E160" s="20" t="s">
        <v>101</v>
      </c>
      <c r="F160" s="20" t="s">
        <v>49</v>
      </c>
      <c r="G160" s="20" t="n">
        <v>3</v>
      </c>
      <c r="H160" s="20" t="n">
        <v>18</v>
      </c>
      <c r="I160" s="20" t="s">
        <v>50</v>
      </c>
    </row>
    <row r="161" customFormat="false" ht="15" hidden="false" customHeight="false" outlineLevel="0" collapsed="false">
      <c r="A161" s="20" t="s">
        <v>487</v>
      </c>
      <c r="B161" s="21" t="n">
        <v>45743</v>
      </c>
      <c r="C161" s="20" t="s">
        <v>258</v>
      </c>
      <c r="D161" s="20" t="s">
        <v>282</v>
      </c>
      <c r="E161" s="20" t="s">
        <v>54</v>
      </c>
      <c r="F161" s="20" t="s">
        <v>76</v>
      </c>
      <c r="G161" s="20" t="n">
        <v>3</v>
      </c>
      <c r="H161" s="20" t="s">
        <v>77</v>
      </c>
      <c r="I161" s="20" t="s">
        <v>50</v>
      </c>
    </row>
    <row r="162" customFormat="false" ht="15" hidden="false" customHeight="false" outlineLevel="0" collapsed="false">
      <c r="A162" s="20" t="s">
        <v>488</v>
      </c>
      <c r="B162" s="20" t="s">
        <v>489</v>
      </c>
      <c r="C162" s="20" t="s">
        <v>424</v>
      </c>
      <c r="D162" s="20" t="s">
        <v>70</v>
      </c>
      <c r="E162" s="20" t="s">
        <v>54</v>
      </c>
      <c r="F162" s="20" t="s">
        <v>55</v>
      </c>
      <c r="G162" s="20" t="n">
        <v>1</v>
      </c>
      <c r="H162" s="20" t="n">
        <v>38</v>
      </c>
      <c r="I162" s="20" t="s">
        <v>50</v>
      </c>
    </row>
    <row r="163" customFormat="false" ht="15" hidden="false" customHeight="false" outlineLevel="0" collapsed="false">
      <c r="A163" s="20" t="s">
        <v>490</v>
      </c>
      <c r="B163" s="20" t="s">
        <v>491</v>
      </c>
      <c r="C163" s="20" t="s">
        <v>224</v>
      </c>
      <c r="D163" s="20" t="s">
        <v>345</v>
      </c>
      <c r="E163" s="20" t="s">
        <v>48</v>
      </c>
      <c r="F163" s="20" t="s">
        <v>116</v>
      </c>
      <c r="G163" s="20" t="n">
        <v>1</v>
      </c>
      <c r="H163" s="20" t="s">
        <v>162</v>
      </c>
      <c r="I163" s="20" t="s">
        <v>50</v>
      </c>
    </row>
    <row r="164" customFormat="false" ht="15" hidden="false" customHeight="false" outlineLevel="0" collapsed="false">
      <c r="A164" s="20" t="s">
        <v>492</v>
      </c>
      <c r="B164" s="20" t="s">
        <v>493</v>
      </c>
      <c r="C164" s="20" t="s">
        <v>494</v>
      </c>
      <c r="D164" s="20" t="s">
        <v>319</v>
      </c>
      <c r="E164" s="20" t="s">
        <v>207</v>
      </c>
      <c r="F164" s="20" t="s">
        <v>93</v>
      </c>
      <c r="G164" s="20" t="n">
        <v>1</v>
      </c>
      <c r="H164" s="20" t="n">
        <v>15</v>
      </c>
      <c r="I164" s="20" t="s">
        <v>50</v>
      </c>
    </row>
    <row r="165" customFormat="false" ht="15" hidden="false" customHeight="false" outlineLevel="0" collapsed="false">
      <c r="A165" s="20" t="s">
        <v>495</v>
      </c>
      <c r="B165" s="21" t="n">
        <v>46016</v>
      </c>
      <c r="C165" s="20" t="s">
        <v>415</v>
      </c>
      <c r="D165" s="20" t="s">
        <v>65</v>
      </c>
      <c r="E165" s="20" t="s">
        <v>92</v>
      </c>
      <c r="F165" s="20" t="s">
        <v>105</v>
      </c>
      <c r="G165" s="20" t="n">
        <v>1</v>
      </c>
      <c r="H165" s="20" t="n">
        <v>49</v>
      </c>
      <c r="I165" s="20" t="s">
        <v>50</v>
      </c>
    </row>
    <row r="166" customFormat="false" ht="15" hidden="false" customHeight="false" outlineLevel="0" collapsed="false">
      <c r="A166" s="20" t="s">
        <v>496</v>
      </c>
      <c r="B166" s="20" t="s">
        <v>497</v>
      </c>
      <c r="C166" s="20" t="s">
        <v>80</v>
      </c>
      <c r="D166" s="20" t="s">
        <v>59</v>
      </c>
      <c r="E166" s="20" t="s">
        <v>92</v>
      </c>
      <c r="F166" s="20" t="s">
        <v>93</v>
      </c>
      <c r="G166" s="20" t="n">
        <v>1</v>
      </c>
      <c r="H166" s="20" t="n">
        <v>15</v>
      </c>
      <c r="I166" s="20" t="s">
        <v>50</v>
      </c>
    </row>
    <row r="167" customFormat="false" ht="15" hidden="false" customHeight="false" outlineLevel="0" collapsed="false">
      <c r="A167" s="20" t="s">
        <v>498</v>
      </c>
      <c r="B167" s="20" t="s">
        <v>499</v>
      </c>
      <c r="C167" s="20" t="s">
        <v>291</v>
      </c>
      <c r="D167" s="20" t="s">
        <v>47</v>
      </c>
      <c r="E167" s="20" t="s">
        <v>66</v>
      </c>
      <c r="F167" s="20" t="s">
        <v>67</v>
      </c>
      <c r="G167" s="20" t="n">
        <v>1</v>
      </c>
      <c r="H167" s="20" t="n">
        <v>45</v>
      </c>
      <c r="I167" s="20" t="s">
        <v>50</v>
      </c>
    </row>
    <row r="168" customFormat="false" ht="15" hidden="false" customHeight="false" outlineLevel="0" collapsed="false">
      <c r="A168" s="20" t="s">
        <v>500</v>
      </c>
      <c r="B168" s="20" t="s">
        <v>501</v>
      </c>
      <c r="C168" s="20" t="s">
        <v>502</v>
      </c>
      <c r="D168" s="20" t="s">
        <v>47</v>
      </c>
      <c r="E168" s="20" t="s">
        <v>81</v>
      </c>
      <c r="F168" s="20" t="s">
        <v>82</v>
      </c>
      <c r="G168" s="20" t="n">
        <v>1</v>
      </c>
      <c r="H168" s="20" t="n">
        <v>22</v>
      </c>
      <c r="I168" s="20" t="s">
        <v>163</v>
      </c>
    </row>
    <row r="169" customFormat="false" ht="15" hidden="false" customHeight="false" outlineLevel="0" collapsed="false">
      <c r="A169" s="20" t="s">
        <v>503</v>
      </c>
      <c r="B169" s="20" t="s">
        <v>504</v>
      </c>
      <c r="C169" s="20" t="s">
        <v>344</v>
      </c>
      <c r="D169" s="20" t="s">
        <v>65</v>
      </c>
      <c r="E169" s="20" t="s">
        <v>505</v>
      </c>
      <c r="F169" s="20" t="s">
        <v>49</v>
      </c>
      <c r="G169" s="20" t="n">
        <v>2</v>
      </c>
      <c r="H169" s="20" t="n">
        <v>18</v>
      </c>
      <c r="I169" s="20" t="s">
        <v>50</v>
      </c>
    </row>
    <row r="170" customFormat="false" ht="15" hidden="false" customHeight="false" outlineLevel="0" collapsed="false">
      <c r="A170" s="20" t="s">
        <v>506</v>
      </c>
      <c r="B170" s="20" t="s">
        <v>507</v>
      </c>
      <c r="C170" s="20" t="s">
        <v>483</v>
      </c>
      <c r="D170" s="20" t="s">
        <v>171</v>
      </c>
      <c r="E170" s="20" t="s">
        <v>110</v>
      </c>
      <c r="F170" s="20" t="s">
        <v>236</v>
      </c>
      <c r="G170" s="20" t="n">
        <v>2</v>
      </c>
      <c r="H170" s="20" t="n">
        <v>30</v>
      </c>
      <c r="I170" s="20" t="s">
        <v>50</v>
      </c>
    </row>
    <row r="171" customFormat="false" ht="15" hidden="false" customHeight="false" outlineLevel="0" collapsed="false">
      <c r="A171" s="20" t="s">
        <v>508</v>
      </c>
      <c r="B171" s="20" t="s">
        <v>509</v>
      </c>
      <c r="C171" s="20" t="s">
        <v>447</v>
      </c>
      <c r="D171" s="20" t="s">
        <v>47</v>
      </c>
      <c r="E171" s="20" t="s">
        <v>110</v>
      </c>
      <c r="F171" s="20" t="s">
        <v>121</v>
      </c>
      <c r="G171" s="20" t="n">
        <v>1</v>
      </c>
      <c r="H171" s="20" t="n">
        <v>21</v>
      </c>
      <c r="I171" s="20" t="s">
        <v>50</v>
      </c>
    </row>
    <row r="172" customFormat="false" ht="15" hidden="false" customHeight="false" outlineLevel="0" collapsed="false">
      <c r="A172" s="20" t="s">
        <v>510</v>
      </c>
      <c r="B172" s="20" t="s">
        <v>511</v>
      </c>
      <c r="C172" s="20" t="s">
        <v>108</v>
      </c>
      <c r="D172" s="20" t="s">
        <v>65</v>
      </c>
      <c r="E172" s="20" t="s">
        <v>92</v>
      </c>
      <c r="F172" s="20" t="s">
        <v>93</v>
      </c>
      <c r="G172" s="20" t="n">
        <v>2</v>
      </c>
      <c r="H172" s="20" t="n">
        <v>15</v>
      </c>
      <c r="I172" s="20" t="s">
        <v>199</v>
      </c>
    </row>
    <row r="173" customFormat="false" ht="15" hidden="false" customHeight="false" outlineLevel="0" collapsed="false">
      <c r="A173" s="20" t="s">
        <v>512</v>
      </c>
      <c r="B173" s="20" t="s">
        <v>499</v>
      </c>
      <c r="C173" s="20" t="s">
        <v>375</v>
      </c>
      <c r="D173" s="20" t="s">
        <v>47</v>
      </c>
      <c r="E173" s="20" t="s">
        <v>92</v>
      </c>
      <c r="F173" s="20" t="s">
        <v>93</v>
      </c>
      <c r="G173" s="20" t="n">
        <v>1</v>
      </c>
      <c r="H173" s="20" t="n">
        <v>15</v>
      </c>
      <c r="I173" s="20" t="s">
        <v>50</v>
      </c>
    </row>
    <row r="174" customFormat="false" ht="15" hidden="false" customHeight="false" outlineLevel="0" collapsed="false">
      <c r="A174" s="20" t="s">
        <v>513</v>
      </c>
      <c r="B174" s="20" t="s">
        <v>382</v>
      </c>
      <c r="C174" s="20" t="s">
        <v>424</v>
      </c>
      <c r="D174" s="20" t="s">
        <v>109</v>
      </c>
      <c r="E174" s="20" t="s">
        <v>54</v>
      </c>
      <c r="F174" s="20" t="s">
        <v>72</v>
      </c>
      <c r="G174" s="20" t="n">
        <v>1</v>
      </c>
      <c r="H174" s="20" t="n">
        <v>24</v>
      </c>
      <c r="I174" s="20" t="s">
        <v>50</v>
      </c>
    </row>
    <row r="175" customFormat="false" ht="15" hidden="false" customHeight="false" outlineLevel="0" collapsed="false">
      <c r="A175" s="20" t="s">
        <v>514</v>
      </c>
      <c r="B175" s="21" t="n">
        <v>46018</v>
      </c>
      <c r="C175" s="20" t="s">
        <v>286</v>
      </c>
      <c r="D175" s="20" t="s">
        <v>282</v>
      </c>
      <c r="E175" s="20" t="s">
        <v>54</v>
      </c>
      <c r="F175" s="20" t="s">
        <v>72</v>
      </c>
      <c r="G175" s="20" t="n">
        <v>1</v>
      </c>
      <c r="H175" s="20" t="s">
        <v>293</v>
      </c>
      <c r="I175" s="20" t="s">
        <v>136</v>
      </c>
    </row>
    <row r="176" customFormat="false" ht="15" hidden="false" customHeight="false" outlineLevel="0" collapsed="false">
      <c r="A176" s="20" t="s">
        <v>515</v>
      </c>
      <c r="B176" s="20" t="s">
        <v>516</v>
      </c>
      <c r="C176" s="20"/>
      <c r="D176" s="20" t="s">
        <v>109</v>
      </c>
      <c r="E176" s="20" t="s">
        <v>92</v>
      </c>
      <c r="F176" s="20" t="s">
        <v>196</v>
      </c>
      <c r="G176" s="20" t="n">
        <v>1</v>
      </c>
      <c r="H176" s="20" t="n">
        <v>89</v>
      </c>
      <c r="I176" s="20" t="s">
        <v>50</v>
      </c>
    </row>
    <row r="177" customFormat="false" ht="15" hidden="false" customHeight="false" outlineLevel="0" collapsed="false">
      <c r="A177" s="20" t="s">
        <v>517</v>
      </c>
      <c r="B177" s="20" t="s">
        <v>518</v>
      </c>
      <c r="C177" s="20" t="s">
        <v>519</v>
      </c>
      <c r="D177" s="20" t="s">
        <v>47</v>
      </c>
      <c r="E177" s="20" t="s">
        <v>48</v>
      </c>
      <c r="F177" s="20" t="s">
        <v>49</v>
      </c>
      <c r="G177" s="20" t="n">
        <v>1</v>
      </c>
      <c r="H177" s="20" t="s">
        <v>180</v>
      </c>
      <c r="I177" s="20" t="s">
        <v>136</v>
      </c>
    </row>
    <row r="178" customFormat="false" ht="15" hidden="false" customHeight="false" outlineLevel="0" collapsed="false">
      <c r="A178" s="20" t="s">
        <v>520</v>
      </c>
      <c r="B178" s="20" t="s">
        <v>521</v>
      </c>
      <c r="C178" s="20" t="s">
        <v>522</v>
      </c>
      <c r="D178" s="20" t="s">
        <v>70</v>
      </c>
      <c r="E178" s="20" t="s">
        <v>81</v>
      </c>
      <c r="F178" s="20" t="s">
        <v>61</v>
      </c>
      <c r="G178" s="20" t="n">
        <v>1</v>
      </c>
      <c r="H178" s="20" t="n">
        <v>35</v>
      </c>
      <c r="I178" s="20" t="s">
        <v>163</v>
      </c>
    </row>
    <row r="179" customFormat="false" ht="15" hidden="false" customHeight="false" outlineLevel="0" collapsed="false">
      <c r="A179" s="20" t="s">
        <v>523</v>
      </c>
      <c r="B179" s="20" t="s">
        <v>401</v>
      </c>
      <c r="C179" s="20" t="s">
        <v>344</v>
      </c>
      <c r="D179" s="20" t="s">
        <v>47</v>
      </c>
      <c r="E179" s="20" t="s">
        <v>92</v>
      </c>
      <c r="F179" s="20" t="s">
        <v>93</v>
      </c>
      <c r="G179" s="20" t="n">
        <v>2</v>
      </c>
      <c r="H179" s="20" t="n">
        <v>15</v>
      </c>
      <c r="I179" s="20" t="s">
        <v>50</v>
      </c>
    </row>
    <row r="180" customFormat="false" ht="15" hidden="false" customHeight="false" outlineLevel="0" collapsed="false">
      <c r="A180" s="20" t="s">
        <v>524</v>
      </c>
      <c r="B180" s="20" t="s">
        <v>525</v>
      </c>
      <c r="C180" s="20" t="s">
        <v>526</v>
      </c>
      <c r="D180" s="20" t="s">
        <v>157</v>
      </c>
      <c r="E180" s="20" t="s">
        <v>54</v>
      </c>
      <c r="F180" s="20" t="s">
        <v>55</v>
      </c>
      <c r="G180" s="20" t="n">
        <v>2</v>
      </c>
      <c r="H180" s="20" t="n">
        <v>38</v>
      </c>
      <c r="I180" s="20" t="s">
        <v>50</v>
      </c>
    </row>
    <row r="181" customFormat="false" ht="15" hidden="false" customHeight="false" outlineLevel="0" collapsed="false">
      <c r="A181" s="20" t="s">
        <v>527</v>
      </c>
      <c r="B181" s="20" t="s">
        <v>528</v>
      </c>
      <c r="C181" s="20" t="s">
        <v>494</v>
      </c>
      <c r="D181" s="20" t="s">
        <v>47</v>
      </c>
      <c r="E181" s="20" t="s">
        <v>54</v>
      </c>
      <c r="F181" s="20" t="s">
        <v>55</v>
      </c>
      <c r="G181" s="20" t="n">
        <v>2</v>
      </c>
      <c r="H181" s="20" t="n">
        <v>38</v>
      </c>
      <c r="I181" s="20" t="s">
        <v>50</v>
      </c>
    </row>
    <row r="182" customFormat="false" ht="15" hidden="false" customHeight="false" outlineLevel="0" collapsed="false">
      <c r="A182" s="20" t="s">
        <v>529</v>
      </c>
      <c r="B182" s="20" t="s">
        <v>530</v>
      </c>
      <c r="C182" s="20" t="s">
        <v>531</v>
      </c>
      <c r="D182" s="20" t="s">
        <v>59</v>
      </c>
      <c r="E182" s="20" t="s">
        <v>92</v>
      </c>
      <c r="F182" s="20" t="s">
        <v>105</v>
      </c>
      <c r="G182" s="20" t="n">
        <v>1</v>
      </c>
      <c r="H182" s="20" t="s">
        <v>126</v>
      </c>
      <c r="I182" s="20" t="s">
        <v>50</v>
      </c>
    </row>
    <row r="183" customFormat="false" ht="15" hidden="false" customHeight="false" outlineLevel="0" collapsed="false">
      <c r="A183" s="20" t="s">
        <v>532</v>
      </c>
      <c r="B183" s="20" t="s">
        <v>533</v>
      </c>
      <c r="C183" s="20" t="s">
        <v>119</v>
      </c>
      <c r="D183" s="20" t="s">
        <v>282</v>
      </c>
      <c r="E183" s="20" t="s">
        <v>48</v>
      </c>
      <c r="F183" s="20" t="s">
        <v>144</v>
      </c>
      <c r="G183" s="20" t="n">
        <v>2</v>
      </c>
      <c r="H183" s="20" t="s">
        <v>229</v>
      </c>
      <c r="I183" s="20" t="s">
        <v>50</v>
      </c>
    </row>
    <row r="184" customFormat="false" ht="15" hidden="false" customHeight="false" outlineLevel="0" collapsed="false">
      <c r="A184" s="20" t="s">
        <v>534</v>
      </c>
      <c r="B184" s="21" t="n">
        <v>45779</v>
      </c>
      <c r="C184" s="20" t="s">
        <v>535</v>
      </c>
      <c r="D184" s="20" t="s">
        <v>282</v>
      </c>
      <c r="E184" s="20" t="s">
        <v>48</v>
      </c>
      <c r="F184" s="20" t="s">
        <v>144</v>
      </c>
      <c r="G184" s="20" t="n">
        <v>1</v>
      </c>
      <c r="H184" s="20" t="n">
        <v>54</v>
      </c>
      <c r="I184" s="20" t="s">
        <v>136</v>
      </c>
    </row>
    <row r="185" customFormat="false" ht="15" hidden="false" customHeight="false" outlineLevel="0" collapsed="false">
      <c r="A185" s="20" t="s">
        <v>536</v>
      </c>
      <c r="B185" s="20" t="s">
        <v>537</v>
      </c>
      <c r="C185" s="20" t="s">
        <v>415</v>
      </c>
      <c r="D185" s="20" t="s">
        <v>47</v>
      </c>
      <c r="E185" s="20" t="s">
        <v>120</v>
      </c>
      <c r="F185" s="20" t="s">
        <v>111</v>
      </c>
      <c r="G185" s="20" t="n">
        <v>2</v>
      </c>
      <c r="H185" s="20" t="n">
        <v>16</v>
      </c>
      <c r="I185" s="20" t="s">
        <v>50</v>
      </c>
    </row>
    <row r="186" customFormat="false" ht="15" hidden="false" customHeight="false" outlineLevel="0" collapsed="false">
      <c r="A186" s="20" t="s">
        <v>538</v>
      </c>
      <c r="B186" s="20" t="s">
        <v>539</v>
      </c>
      <c r="C186" s="20" t="s">
        <v>239</v>
      </c>
      <c r="D186" s="20" t="s">
        <v>345</v>
      </c>
      <c r="E186" s="20" t="s">
        <v>92</v>
      </c>
      <c r="F186" s="20" t="s">
        <v>105</v>
      </c>
      <c r="G186" s="20" t="n">
        <v>1</v>
      </c>
      <c r="H186" s="20" t="n">
        <v>49</v>
      </c>
      <c r="I186" s="20" t="s">
        <v>136</v>
      </c>
    </row>
    <row r="187" customFormat="false" ht="15" hidden="false" customHeight="false" outlineLevel="0" collapsed="false">
      <c r="A187" s="20" t="s">
        <v>540</v>
      </c>
      <c r="B187" s="20" t="s">
        <v>541</v>
      </c>
      <c r="C187" s="20" t="s">
        <v>348</v>
      </c>
      <c r="D187" s="20" t="s">
        <v>70</v>
      </c>
      <c r="E187" s="20" t="s">
        <v>101</v>
      </c>
      <c r="F187" s="20" t="s">
        <v>144</v>
      </c>
      <c r="G187" s="20" t="n">
        <v>1</v>
      </c>
      <c r="H187" s="20" t="n">
        <v>54</v>
      </c>
      <c r="I187" s="20" t="s">
        <v>50</v>
      </c>
    </row>
    <row r="188" customFormat="false" ht="15" hidden="false" customHeight="false" outlineLevel="0" collapsed="false">
      <c r="A188" s="20" t="s">
        <v>542</v>
      </c>
      <c r="B188" s="20" t="s">
        <v>543</v>
      </c>
      <c r="C188" s="20" t="s">
        <v>424</v>
      </c>
      <c r="D188" s="20" t="s">
        <v>157</v>
      </c>
      <c r="E188" s="20" t="s">
        <v>48</v>
      </c>
      <c r="F188" s="20" t="s">
        <v>144</v>
      </c>
      <c r="G188" s="20" t="n">
        <v>4</v>
      </c>
      <c r="H188" s="20" t="n">
        <v>54</v>
      </c>
      <c r="I188" s="20" t="s">
        <v>50</v>
      </c>
    </row>
    <row r="189" customFormat="false" ht="15" hidden="false" customHeight="false" outlineLevel="0" collapsed="false">
      <c r="A189" s="20" t="s">
        <v>544</v>
      </c>
      <c r="B189" s="20" t="s">
        <v>545</v>
      </c>
      <c r="C189" s="20" t="s">
        <v>262</v>
      </c>
      <c r="D189" s="20" t="s">
        <v>171</v>
      </c>
      <c r="E189" s="20" t="s">
        <v>48</v>
      </c>
      <c r="F189" s="20" t="s">
        <v>49</v>
      </c>
      <c r="G189" s="20" t="n">
        <v>1</v>
      </c>
      <c r="H189" s="20" t="n">
        <v>18</v>
      </c>
      <c r="I189" s="20" t="s">
        <v>50</v>
      </c>
    </row>
    <row r="190" customFormat="false" ht="15" hidden="false" customHeight="false" outlineLevel="0" collapsed="false">
      <c r="A190" s="20" t="s">
        <v>546</v>
      </c>
      <c r="B190" s="20" t="s">
        <v>547</v>
      </c>
      <c r="C190" s="20" t="s">
        <v>548</v>
      </c>
      <c r="D190" s="20" t="s">
        <v>282</v>
      </c>
      <c r="E190" s="20" t="s">
        <v>54</v>
      </c>
      <c r="F190" s="20" t="s">
        <v>76</v>
      </c>
      <c r="G190" s="20" t="n">
        <v>1</v>
      </c>
      <c r="H190" s="20" t="n">
        <v>32</v>
      </c>
      <c r="I190" s="20" t="s">
        <v>50</v>
      </c>
    </row>
    <row r="191" customFormat="false" ht="15" hidden="false" customHeight="false" outlineLevel="0" collapsed="false">
      <c r="A191" s="20" t="s">
        <v>549</v>
      </c>
      <c r="B191" s="20" t="s">
        <v>550</v>
      </c>
      <c r="C191" s="20" t="s">
        <v>291</v>
      </c>
      <c r="D191" s="20" t="s">
        <v>47</v>
      </c>
      <c r="E191" s="20" t="s">
        <v>60</v>
      </c>
      <c r="F191" s="20" t="s">
        <v>61</v>
      </c>
      <c r="G191" s="20" t="n">
        <v>2</v>
      </c>
      <c r="H191" s="20" t="s">
        <v>88</v>
      </c>
      <c r="I191" s="20" t="s">
        <v>112</v>
      </c>
    </row>
    <row r="192" customFormat="false" ht="15" hidden="false" customHeight="false" outlineLevel="0" collapsed="false">
      <c r="A192" s="20" t="s">
        <v>551</v>
      </c>
      <c r="B192" s="21" t="n">
        <v>45719</v>
      </c>
      <c r="C192" s="20" t="s">
        <v>552</v>
      </c>
      <c r="D192" s="20" t="s">
        <v>109</v>
      </c>
      <c r="E192" s="20" t="s">
        <v>140</v>
      </c>
      <c r="F192" s="20" t="s">
        <v>105</v>
      </c>
      <c r="G192" s="20" t="n">
        <v>2</v>
      </c>
      <c r="H192" s="20" t="s">
        <v>126</v>
      </c>
      <c r="I192" s="20" t="s">
        <v>50</v>
      </c>
    </row>
    <row r="193" customFormat="false" ht="15" hidden="false" customHeight="false" outlineLevel="0" collapsed="false">
      <c r="A193" s="20" t="s">
        <v>553</v>
      </c>
      <c r="B193" s="20" t="s">
        <v>554</v>
      </c>
      <c r="C193" s="20" t="s">
        <v>64</v>
      </c>
      <c r="D193" s="20" t="s">
        <v>70</v>
      </c>
      <c r="E193" s="20" t="s">
        <v>81</v>
      </c>
      <c r="F193" s="20" t="s">
        <v>67</v>
      </c>
      <c r="G193" s="20" t="n">
        <v>4</v>
      </c>
      <c r="H193" s="20" t="s">
        <v>135</v>
      </c>
      <c r="I193" s="20" t="s">
        <v>163</v>
      </c>
    </row>
    <row r="194" customFormat="false" ht="15" hidden="false" customHeight="false" outlineLevel="0" collapsed="false">
      <c r="A194" s="20" t="s">
        <v>555</v>
      </c>
      <c r="B194" s="20" t="s">
        <v>556</v>
      </c>
      <c r="C194" s="20" t="s">
        <v>557</v>
      </c>
      <c r="D194" s="20" t="s">
        <v>157</v>
      </c>
      <c r="E194" s="20" t="s">
        <v>92</v>
      </c>
      <c r="F194" s="20" t="s">
        <v>105</v>
      </c>
      <c r="G194" s="20" t="n">
        <v>2</v>
      </c>
      <c r="H194" s="20" t="s">
        <v>126</v>
      </c>
      <c r="I194" s="20" t="s">
        <v>50</v>
      </c>
    </row>
    <row r="195" customFormat="false" ht="15" hidden="false" customHeight="false" outlineLevel="0" collapsed="false">
      <c r="A195" s="20" t="s">
        <v>558</v>
      </c>
      <c r="B195" s="21" t="n">
        <v>45826</v>
      </c>
      <c r="C195" s="20" t="s">
        <v>338</v>
      </c>
      <c r="D195" s="20" t="s">
        <v>282</v>
      </c>
      <c r="E195" s="20" t="s">
        <v>54</v>
      </c>
      <c r="F195" s="20" t="s">
        <v>72</v>
      </c>
      <c r="G195" s="20" t="n">
        <v>1</v>
      </c>
      <c r="H195" s="20" t="n">
        <v>24</v>
      </c>
      <c r="I195" s="20" t="s">
        <v>50</v>
      </c>
    </row>
    <row r="196" customFormat="false" ht="15" hidden="false" customHeight="false" outlineLevel="0" collapsed="false">
      <c r="A196" s="20" t="s">
        <v>559</v>
      </c>
      <c r="B196" s="20" t="s">
        <v>560</v>
      </c>
      <c r="C196" s="20" t="s">
        <v>104</v>
      </c>
      <c r="D196" s="20" t="s">
        <v>301</v>
      </c>
      <c r="E196" s="20" t="s">
        <v>101</v>
      </c>
      <c r="F196" s="20" t="s">
        <v>116</v>
      </c>
      <c r="G196" s="20" t="n">
        <v>4</v>
      </c>
      <c r="H196" s="20" t="n">
        <v>28</v>
      </c>
      <c r="I196" s="20" t="s">
        <v>50</v>
      </c>
    </row>
    <row r="197" customFormat="false" ht="15" hidden="false" customHeight="false" outlineLevel="0" collapsed="false">
      <c r="A197" s="20" t="s">
        <v>561</v>
      </c>
      <c r="B197" s="20" t="s">
        <v>562</v>
      </c>
      <c r="C197" s="20" t="s">
        <v>129</v>
      </c>
      <c r="D197" s="20" t="s">
        <v>157</v>
      </c>
      <c r="E197" s="20" t="s">
        <v>48</v>
      </c>
      <c r="F197" s="20" t="s">
        <v>49</v>
      </c>
      <c r="G197" s="20" t="n">
        <v>2</v>
      </c>
      <c r="H197" s="20" t="n">
        <v>18</v>
      </c>
      <c r="I197" s="20" t="s">
        <v>50</v>
      </c>
    </row>
    <row r="198" customFormat="false" ht="15" hidden="false" customHeight="false" outlineLevel="0" collapsed="false">
      <c r="A198" s="20" t="s">
        <v>563</v>
      </c>
      <c r="B198" s="20" t="s">
        <v>564</v>
      </c>
      <c r="C198" s="20"/>
      <c r="D198" s="20" t="s">
        <v>47</v>
      </c>
      <c r="E198" s="20" t="s">
        <v>54</v>
      </c>
      <c r="F198" s="20" t="s">
        <v>55</v>
      </c>
      <c r="G198" s="20" t="n">
        <v>1</v>
      </c>
      <c r="H198" s="20" t="n">
        <v>38</v>
      </c>
      <c r="I198" s="20" t="s">
        <v>199</v>
      </c>
    </row>
    <row r="199" customFormat="false" ht="15" hidden="false" customHeight="false" outlineLevel="0" collapsed="false">
      <c r="A199" s="20" t="s">
        <v>565</v>
      </c>
      <c r="B199" s="21" t="n">
        <v>45949</v>
      </c>
      <c r="C199" s="20" t="s">
        <v>100</v>
      </c>
      <c r="D199" s="20" t="s">
        <v>47</v>
      </c>
      <c r="E199" s="20" t="s">
        <v>54</v>
      </c>
      <c r="F199" s="20" t="s">
        <v>72</v>
      </c>
      <c r="G199" s="20" t="n">
        <v>1</v>
      </c>
      <c r="H199" s="20" t="n">
        <v>24</v>
      </c>
      <c r="I199" s="20" t="s">
        <v>50</v>
      </c>
    </row>
    <row r="200" customFormat="false" ht="15" hidden="false" customHeight="false" outlineLevel="0" collapsed="false">
      <c r="A200" s="20" t="s">
        <v>566</v>
      </c>
      <c r="B200" s="20" t="s">
        <v>567</v>
      </c>
      <c r="C200" s="20" t="s">
        <v>100</v>
      </c>
      <c r="D200" s="20" t="s">
        <v>59</v>
      </c>
      <c r="E200" s="20" t="s">
        <v>81</v>
      </c>
      <c r="F200" s="20" t="s">
        <v>82</v>
      </c>
      <c r="G200" s="20" t="n">
        <v>2</v>
      </c>
      <c r="H200" s="20" t="n">
        <v>22</v>
      </c>
      <c r="I200" s="20" t="s">
        <v>50</v>
      </c>
    </row>
    <row r="201" customFormat="false" ht="15" hidden="false" customHeight="false" outlineLevel="0" collapsed="false">
      <c r="A201" s="20" t="s">
        <v>568</v>
      </c>
      <c r="B201" s="20" t="s">
        <v>569</v>
      </c>
      <c r="C201" s="20" t="s">
        <v>570</v>
      </c>
      <c r="D201" s="20" t="s">
        <v>47</v>
      </c>
      <c r="E201" s="20" t="s">
        <v>505</v>
      </c>
      <c r="F201" s="20" t="s">
        <v>116</v>
      </c>
      <c r="G201" s="20" t="n">
        <v>2</v>
      </c>
      <c r="H201" s="20" t="s">
        <v>162</v>
      </c>
      <c r="I201" s="20" t="s">
        <v>136</v>
      </c>
    </row>
    <row r="202" customFormat="false" ht="15" hidden="false" customHeight="false" outlineLevel="0" collapsed="false">
      <c r="A202" s="20" t="s">
        <v>571</v>
      </c>
      <c r="B202" s="20" t="s">
        <v>572</v>
      </c>
      <c r="C202" s="20" t="s">
        <v>573</v>
      </c>
      <c r="D202" s="20" t="s">
        <v>70</v>
      </c>
      <c r="E202" s="20" t="s">
        <v>54</v>
      </c>
      <c r="F202" s="20" t="s">
        <v>55</v>
      </c>
      <c r="G202" s="20" t="n">
        <v>1</v>
      </c>
      <c r="H202" s="20" t="n">
        <v>38</v>
      </c>
      <c r="I202" s="20" t="s">
        <v>50</v>
      </c>
    </row>
    <row r="203" customFormat="false" ht="15" hidden="false" customHeight="false" outlineLevel="0" collapsed="false">
      <c r="A203" s="20" t="s">
        <v>574</v>
      </c>
      <c r="B203" s="20" t="s">
        <v>575</v>
      </c>
      <c r="C203" s="20" t="s">
        <v>412</v>
      </c>
      <c r="D203" s="20" t="s">
        <v>47</v>
      </c>
      <c r="E203" s="20" t="s">
        <v>54</v>
      </c>
      <c r="F203" s="20" t="s">
        <v>76</v>
      </c>
      <c r="G203" s="20" t="n">
        <v>2</v>
      </c>
      <c r="H203" s="20" t="n">
        <v>32</v>
      </c>
      <c r="I203" s="20" t="s">
        <v>50</v>
      </c>
    </row>
    <row r="204" customFormat="false" ht="15" hidden="false" customHeight="false" outlineLevel="0" collapsed="false">
      <c r="A204" s="20" t="s">
        <v>576</v>
      </c>
      <c r="B204" s="20" t="s">
        <v>577</v>
      </c>
      <c r="C204" s="20" t="s">
        <v>578</v>
      </c>
      <c r="D204" s="20" t="s">
        <v>70</v>
      </c>
      <c r="E204" s="20" t="s">
        <v>54</v>
      </c>
      <c r="F204" s="20" t="s">
        <v>76</v>
      </c>
      <c r="G204" s="20" t="n">
        <v>1</v>
      </c>
      <c r="H204" s="20" t="n">
        <v>32</v>
      </c>
      <c r="I204" s="20" t="s">
        <v>50</v>
      </c>
    </row>
    <row r="205" customFormat="false" ht="15" hidden="false" customHeight="false" outlineLevel="0" collapsed="false">
      <c r="A205" s="20" t="s">
        <v>579</v>
      </c>
      <c r="B205" s="20" t="s">
        <v>580</v>
      </c>
      <c r="C205" s="20" t="s">
        <v>335</v>
      </c>
      <c r="D205" s="20" t="s">
        <v>47</v>
      </c>
      <c r="E205" s="20" t="s">
        <v>71</v>
      </c>
      <c r="F205" s="20" t="s">
        <v>55</v>
      </c>
      <c r="G205" s="20" t="n">
        <v>1</v>
      </c>
      <c r="H205" s="20" t="s">
        <v>259</v>
      </c>
      <c r="I205" s="20" t="s">
        <v>112</v>
      </c>
    </row>
    <row r="206" customFormat="false" ht="15" hidden="false" customHeight="false" outlineLevel="0" collapsed="false">
      <c r="A206" s="20" t="s">
        <v>581</v>
      </c>
      <c r="B206" s="20" t="s">
        <v>582</v>
      </c>
      <c r="C206" s="20" t="s">
        <v>91</v>
      </c>
      <c r="D206" s="20" t="s">
        <v>65</v>
      </c>
      <c r="E206" s="20" t="s">
        <v>297</v>
      </c>
      <c r="F206" s="20" t="s">
        <v>121</v>
      </c>
      <c r="G206" s="20" t="n">
        <v>2</v>
      </c>
      <c r="H206" s="20" t="n">
        <v>21</v>
      </c>
      <c r="I206" s="20" t="s">
        <v>112</v>
      </c>
    </row>
    <row r="207" customFormat="false" ht="15" hidden="false" customHeight="false" outlineLevel="0" collapsed="false">
      <c r="A207" s="20" t="s">
        <v>583</v>
      </c>
      <c r="B207" s="20" t="s">
        <v>584</v>
      </c>
      <c r="C207" s="20" t="s">
        <v>323</v>
      </c>
      <c r="D207" s="20" t="s">
        <v>59</v>
      </c>
      <c r="E207" s="20" t="s">
        <v>54</v>
      </c>
      <c r="F207" s="20" t="s">
        <v>72</v>
      </c>
      <c r="G207" s="20" t="n">
        <v>1</v>
      </c>
      <c r="H207" s="20" t="n">
        <v>24</v>
      </c>
      <c r="I207" s="20" t="s">
        <v>50</v>
      </c>
    </row>
    <row r="208" customFormat="false" ht="15" hidden="false" customHeight="false" outlineLevel="0" collapsed="false">
      <c r="A208" s="20" t="s">
        <v>585</v>
      </c>
      <c r="B208" s="20" t="s">
        <v>586</v>
      </c>
      <c r="C208" s="20" t="s">
        <v>437</v>
      </c>
      <c r="D208" s="20" t="s">
        <v>587</v>
      </c>
      <c r="E208" s="20" t="s">
        <v>92</v>
      </c>
      <c r="F208" s="20" t="s">
        <v>196</v>
      </c>
      <c r="G208" s="20" t="n">
        <v>1</v>
      </c>
      <c r="H208" s="20" t="s">
        <v>220</v>
      </c>
      <c r="I208" s="20" t="s">
        <v>50</v>
      </c>
    </row>
    <row r="209" customFormat="false" ht="15" hidden="false" customHeight="false" outlineLevel="0" collapsed="false">
      <c r="A209" s="20" t="s">
        <v>588</v>
      </c>
      <c r="B209" s="20" t="s">
        <v>589</v>
      </c>
      <c r="C209" s="20" t="s">
        <v>483</v>
      </c>
      <c r="D209" s="20" t="s">
        <v>70</v>
      </c>
      <c r="E209" s="20" t="s">
        <v>48</v>
      </c>
      <c r="F209" s="20" t="s">
        <v>144</v>
      </c>
      <c r="G209" s="20" t="n">
        <v>1</v>
      </c>
      <c r="H209" s="20" t="n">
        <v>54</v>
      </c>
      <c r="I209" s="20" t="s">
        <v>50</v>
      </c>
    </row>
    <row r="210" customFormat="false" ht="15" hidden="false" customHeight="false" outlineLevel="0" collapsed="false">
      <c r="A210" s="20" t="s">
        <v>590</v>
      </c>
      <c r="B210" s="20" t="s">
        <v>591</v>
      </c>
      <c r="C210" s="20" t="s">
        <v>592</v>
      </c>
      <c r="D210" s="20" t="s">
        <v>47</v>
      </c>
      <c r="E210" s="20" t="s">
        <v>110</v>
      </c>
      <c r="F210" s="20" t="s">
        <v>121</v>
      </c>
      <c r="G210" s="20" t="n">
        <v>4</v>
      </c>
      <c r="H210" s="20" t="n">
        <v>21</v>
      </c>
      <c r="I210" s="20" t="s">
        <v>50</v>
      </c>
    </row>
    <row r="211" customFormat="false" ht="15" hidden="false" customHeight="false" outlineLevel="0" collapsed="false">
      <c r="A211" s="20" t="s">
        <v>593</v>
      </c>
      <c r="B211" s="20" t="s">
        <v>594</v>
      </c>
      <c r="C211" s="20" t="s">
        <v>156</v>
      </c>
      <c r="D211" s="20" t="s">
        <v>47</v>
      </c>
      <c r="E211" s="20" t="s">
        <v>81</v>
      </c>
      <c r="F211" s="20" t="s">
        <v>61</v>
      </c>
      <c r="G211" s="20" t="n">
        <v>1</v>
      </c>
      <c r="H211" s="20" t="n">
        <v>35</v>
      </c>
      <c r="I211" s="20" t="s">
        <v>50</v>
      </c>
    </row>
    <row r="212" customFormat="false" ht="15" hidden="false" customHeight="false" outlineLevel="0" collapsed="false">
      <c r="A212" s="20" t="s">
        <v>595</v>
      </c>
      <c r="B212" s="20" t="s">
        <v>408</v>
      </c>
      <c r="C212" s="20" t="s">
        <v>64</v>
      </c>
      <c r="D212" s="20" t="s">
        <v>70</v>
      </c>
      <c r="E212" s="20" t="s">
        <v>48</v>
      </c>
      <c r="F212" s="20" t="s">
        <v>49</v>
      </c>
      <c r="G212" s="20" t="n">
        <v>1</v>
      </c>
      <c r="H212" s="20" t="n">
        <v>18</v>
      </c>
      <c r="I212" s="20" t="s">
        <v>50</v>
      </c>
    </row>
    <row r="213" customFormat="false" ht="15" hidden="false" customHeight="false" outlineLevel="0" collapsed="false">
      <c r="A213" s="20" t="s">
        <v>596</v>
      </c>
      <c r="B213" s="20" t="s">
        <v>597</v>
      </c>
      <c r="C213" s="20" t="s">
        <v>139</v>
      </c>
      <c r="D213" s="20" t="s">
        <v>47</v>
      </c>
      <c r="E213" s="20" t="s">
        <v>297</v>
      </c>
      <c r="F213" s="20" t="s">
        <v>236</v>
      </c>
      <c r="G213" s="20" t="n">
        <v>1</v>
      </c>
      <c r="H213" s="20" t="n">
        <v>30</v>
      </c>
      <c r="I213" s="20" t="s">
        <v>50</v>
      </c>
    </row>
    <row r="214" customFormat="false" ht="15" hidden="false" customHeight="false" outlineLevel="0" collapsed="false">
      <c r="A214" s="20" t="s">
        <v>598</v>
      </c>
      <c r="B214" s="20" t="s">
        <v>599</v>
      </c>
      <c r="C214" s="20" t="s">
        <v>600</v>
      </c>
      <c r="D214" s="20" t="s">
        <v>65</v>
      </c>
      <c r="E214" s="20" t="s">
        <v>48</v>
      </c>
      <c r="F214" s="20" t="s">
        <v>144</v>
      </c>
      <c r="G214" s="20" t="n">
        <v>1</v>
      </c>
      <c r="H214" s="20" t="s">
        <v>229</v>
      </c>
      <c r="I214" s="20" t="s">
        <v>50</v>
      </c>
    </row>
    <row r="215" customFormat="false" ht="15" hidden="false" customHeight="false" outlineLevel="0" collapsed="false">
      <c r="A215" s="20" t="s">
        <v>601</v>
      </c>
      <c r="B215" s="20" t="s">
        <v>602</v>
      </c>
      <c r="C215" s="20" t="s">
        <v>557</v>
      </c>
      <c r="D215" s="20" t="s">
        <v>301</v>
      </c>
      <c r="E215" s="20" t="s">
        <v>81</v>
      </c>
      <c r="F215" s="20" t="s">
        <v>61</v>
      </c>
      <c r="G215" s="20" t="n">
        <v>1</v>
      </c>
      <c r="H215" s="20" t="s">
        <v>88</v>
      </c>
      <c r="I215" s="20" t="s">
        <v>163</v>
      </c>
    </row>
    <row r="216" customFormat="false" ht="15" hidden="false" customHeight="false" outlineLevel="0" collapsed="false">
      <c r="A216" s="20" t="s">
        <v>603</v>
      </c>
      <c r="B216" s="20" t="s">
        <v>450</v>
      </c>
      <c r="C216" s="20" t="s">
        <v>250</v>
      </c>
      <c r="D216" s="20" t="s">
        <v>59</v>
      </c>
      <c r="E216" s="20" t="s">
        <v>54</v>
      </c>
      <c r="F216" s="20" t="s">
        <v>72</v>
      </c>
      <c r="G216" s="20" t="n">
        <v>2</v>
      </c>
      <c r="H216" s="20" t="n">
        <v>24</v>
      </c>
      <c r="I216" s="20" t="s">
        <v>50</v>
      </c>
    </row>
    <row r="217" customFormat="false" ht="15" hidden="false" customHeight="false" outlineLevel="0" collapsed="false">
      <c r="A217" s="20" t="s">
        <v>604</v>
      </c>
      <c r="B217" s="20" t="s">
        <v>605</v>
      </c>
      <c r="C217" s="20" t="s">
        <v>483</v>
      </c>
      <c r="D217" s="20" t="s">
        <v>47</v>
      </c>
      <c r="E217" s="20" t="s">
        <v>92</v>
      </c>
      <c r="F217" s="20" t="s">
        <v>93</v>
      </c>
      <c r="G217" s="20" t="n">
        <v>2</v>
      </c>
      <c r="H217" s="20" t="s">
        <v>94</v>
      </c>
      <c r="I217" s="20" t="s">
        <v>50</v>
      </c>
    </row>
    <row r="218" customFormat="false" ht="15" hidden="false" customHeight="false" outlineLevel="0" collapsed="false">
      <c r="A218" s="20" t="s">
        <v>606</v>
      </c>
      <c r="B218" s="20" t="s">
        <v>607</v>
      </c>
      <c r="C218" s="20" t="s">
        <v>80</v>
      </c>
      <c r="D218" s="20" t="s">
        <v>47</v>
      </c>
      <c r="E218" s="20" t="s">
        <v>81</v>
      </c>
      <c r="F218" s="20" t="s">
        <v>82</v>
      </c>
      <c r="G218" s="20" t="n">
        <v>2</v>
      </c>
      <c r="H218" s="20" t="n">
        <v>22</v>
      </c>
      <c r="I218" s="20" t="s">
        <v>50</v>
      </c>
    </row>
    <row r="219" customFormat="false" ht="15" hidden="false" customHeight="false" outlineLevel="0" collapsed="false">
      <c r="A219" s="20" t="s">
        <v>608</v>
      </c>
      <c r="B219" s="20" t="s">
        <v>609</v>
      </c>
      <c r="C219" s="20" t="s">
        <v>119</v>
      </c>
      <c r="D219" s="20" t="s">
        <v>109</v>
      </c>
      <c r="E219" s="20" t="s">
        <v>48</v>
      </c>
      <c r="F219" s="20" t="s">
        <v>49</v>
      </c>
      <c r="G219" s="20" t="n">
        <v>2</v>
      </c>
      <c r="H219" s="20" t="n">
        <v>18</v>
      </c>
      <c r="I219" s="20" t="s">
        <v>199</v>
      </c>
    </row>
    <row r="220" customFormat="false" ht="15" hidden="false" customHeight="false" outlineLevel="0" collapsed="false">
      <c r="A220" s="20" t="s">
        <v>610</v>
      </c>
      <c r="B220" s="20" t="s">
        <v>611</v>
      </c>
      <c r="C220" s="20" t="s">
        <v>557</v>
      </c>
      <c r="D220" s="20" t="s">
        <v>109</v>
      </c>
      <c r="E220" s="20" t="s">
        <v>81</v>
      </c>
      <c r="F220" s="20" t="s">
        <v>67</v>
      </c>
      <c r="G220" s="20" t="n">
        <v>1</v>
      </c>
      <c r="H220" s="20" t="n">
        <v>45</v>
      </c>
      <c r="I220" s="20" t="s">
        <v>50</v>
      </c>
    </row>
    <row r="221" customFormat="false" ht="15" hidden="false" customHeight="false" outlineLevel="0" collapsed="false">
      <c r="A221" s="20" t="s">
        <v>612</v>
      </c>
      <c r="B221" s="20" t="s">
        <v>613</v>
      </c>
      <c r="C221" s="20" t="s">
        <v>552</v>
      </c>
      <c r="D221" s="20" t="s">
        <v>47</v>
      </c>
      <c r="E221" s="20" t="s">
        <v>48</v>
      </c>
      <c r="F221" s="20" t="s">
        <v>49</v>
      </c>
      <c r="G221" s="20" t="n">
        <v>1</v>
      </c>
      <c r="H221" s="20" t="n">
        <v>18</v>
      </c>
      <c r="I221" s="20" t="s">
        <v>50</v>
      </c>
    </row>
    <row r="222" customFormat="false" ht="15" hidden="false" customHeight="false" outlineLevel="0" collapsed="false">
      <c r="A222" s="20" t="s">
        <v>614</v>
      </c>
      <c r="B222" s="20" t="s">
        <v>615</v>
      </c>
      <c r="C222" s="20" t="s">
        <v>616</v>
      </c>
      <c r="D222" s="20" t="s">
        <v>47</v>
      </c>
      <c r="E222" s="20" t="s">
        <v>54</v>
      </c>
      <c r="F222" s="20" t="s">
        <v>72</v>
      </c>
      <c r="G222" s="20" t="n">
        <v>1</v>
      </c>
      <c r="H222" s="20" t="n">
        <v>24</v>
      </c>
      <c r="I222" s="20" t="s">
        <v>50</v>
      </c>
    </row>
    <row r="223" customFormat="false" ht="15" hidden="false" customHeight="false" outlineLevel="0" collapsed="false">
      <c r="A223" s="20" t="s">
        <v>617</v>
      </c>
      <c r="B223" s="20" t="s">
        <v>618</v>
      </c>
      <c r="C223" s="20" t="s">
        <v>153</v>
      </c>
      <c r="D223" s="20" t="s">
        <v>403</v>
      </c>
      <c r="E223" s="20" t="s">
        <v>54</v>
      </c>
      <c r="F223" s="20" t="s">
        <v>72</v>
      </c>
      <c r="G223" s="20" t="n">
        <v>3</v>
      </c>
      <c r="H223" s="20" t="s">
        <v>293</v>
      </c>
      <c r="I223" s="20" t="s">
        <v>50</v>
      </c>
    </row>
    <row r="224" customFormat="false" ht="15" hidden="false" customHeight="false" outlineLevel="0" collapsed="false">
      <c r="A224" s="20" t="s">
        <v>619</v>
      </c>
      <c r="B224" s="21" t="n">
        <v>45824</v>
      </c>
      <c r="C224" s="20" t="s">
        <v>570</v>
      </c>
      <c r="D224" s="20" t="s">
        <v>47</v>
      </c>
      <c r="E224" s="20" t="s">
        <v>54</v>
      </c>
      <c r="F224" s="20" t="s">
        <v>72</v>
      </c>
      <c r="G224" s="20" t="n">
        <v>1</v>
      </c>
      <c r="H224" s="20" t="n">
        <v>24</v>
      </c>
      <c r="I224" s="20" t="s">
        <v>50</v>
      </c>
    </row>
    <row r="225" customFormat="false" ht="15" hidden="false" customHeight="false" outlineLevel="0" collapsed="false">
      <c r="A225" s="20" t="s">
        <v>620</v>
      </c>
      <c r="B225" s="20" t="s">
        <v>621</v>
      </c>
      <c r="C225" s="20" t="s">
        <v>241</v>
      </c>
      <c r="D225" s="20" t="s">
        <v>587</v>
      </c>
      <c r="E225" s="20" t="s">
        <v>48</v>
      </c>
      <c r="F225" s="20" t="s">
        <v>116</v>
      </c>
      <c r="G225" s="20" t="n">
        <v>1</v>
      </c>
      <c r="H225" s="20" t="n">
        <v>28</v>
      </c>
      <c r="I225" s="20" t="s">
        <v>50</v>
      </c>
    </row>
    <row r="226" customFormat="false" ht="15" hidden="false" customHeight="false" outlineLevel="0" collapsed="false">
      <c r="A226" s="20" t="s">
        <v>622</v>
      </c>
      <c r="B226" s="20" t="s">
        <v>623</v>
      </c>
      <c r="C226" s="20" t="s">
        <v>624</v>
      </c>
      <c r="D226" s="20" t="s">
        <v>65</v>
      </c>
      <c r="E226" s="20" t="s">
        <v>48</v>
      </c>
      <c r="F226" s="20" t="s">
        <v>116</v>
      </c>
      <c r="G226" s="20" t="n">
        <v>1</v>
      </c>
      <c r="H226" s="20" t="n">
        <v>28</v>
      </c>
      <c r="I226" s="20" t="s">
        <v>163</v>
      </c>
    </row>
    <row r="227" customFormat="false" ht="15" hidden="false" customHeight="false" outlineLevel="0" collapsed="false">
      <c r="A227" s="20" t="s">
        <v>625</v>
      </c>
      <c r="B227" s="21" t="n">
        <v>45741</v>
      </c>
      <c r="C227" s="20" t="s">
        <v>258</v>
      </c>
      <c r="D227" s="20" t="s">
        <v>47</v>
      </c>
      <c r="E227" s="20" t="s">
        <v>110</v>
      </c>
      <c r="F227" s="20" t="s">
        <v>111</v>
      </c>
      <c r="G227" s="20" t="n">
        <v>1</v>
      </c>
      <c r="H227" s="20" t="n">
        <v>16</v>
      </c>
      <c r="I227" s="20" t="s">
        <v>163</v>
      </c>
    </row>
    <row r="228" customFormat="false" ht="15" hidden="false" customHeight="false" outlineLevel="0" collapsed="false">
      <c r="A228" s="20" t="s">
        <v>626</v>
      </c>
      <c r="B228" s="20" t="s">
        <v>627</v>
      </c>
      <c r="C228" s="20" t="s">
        <v>442</v>
      </c>
      <c r="D228" s="20" t="s">
        <v>70</v>
      </c>
      <c r="E228" s="20" t="s">
        <v>54</v>
      </c>
      <c r="F228" s="20" t="s">
        <v>55</v>
      </c>
      <c r="G228" s="20" t="n">
        <v>3</v>
      </c>
      <c r="H228" s="20" t="n">
        <v>38</v>
      </c>
      <c r="I228" s="20" t="s">
        <v>112</v>
      </c>
    </row>
    <row r="229" customFormat="false" ht="15" hidden="false" customHeight="false" outlineLevel="0" collapsed="false">
      <c r="A229" s="20" t="s">
        <v>628</v>
      </c>
      <c r="B229" s="20" t="s">
        <v>629</v>
      </c>
      <c r="C229" s="20" t="s">
        <v>245</v>
      </c>
      <c r="D229" s="20" t="s">
        <v>47</v>
      </c>
      <c r="E229" s="20" t="s">
        <v>54</v>
      </c>
      <c r="F229" s="20" t="s">
        <v>55</v>
      </c>
      <c r="G229" s="20" t="n">
        <v>1</v>
      </c>
      <c r="H229" s="20" t="n">
        <v>38</v>
      </c>
      <c r="I229" s="20" t="s">
        <v>50</v>
      </c>
    </row>
    <row r="230" customFormat="false" ht="15" hidden="false" customHeight="false" outlineLevel="0" collapsed="false">
      <c r="A230" s="20" t="s">
        <v>630</v>
      </c>
      <c r="B230" s="20" t="s">
        <v>631</v>
      </c>
      <c r="C230" s="20" t="s">
        <v>519</v>
      </c>
      <c r="D230" s="20" t="s">
        <v>59</v>
      </c>
      <c r="E230" s="20" t="s">
        <v>81</v>
      </c>
      <c r="F230" s="20" t="s">
        <v>82</v>
      </c>
      <c r="G230" s="20" t="n">
        <v>1</v>
      </c>
      <c r="H230" s="20" t="n">
        <v>22</v>
      </c>
      <c r="I230" s="20" t="s">
        <v>50</v>
      </c>
    </row>
    <row r="231" customFormat="false" ht="15" hidden="false" customHeight="false" outlineLevel="0" collapsed="false">
      <c r="A231" s="20" t="s">
        <v>632</v>
      </c>
      <c r="B231" s="20" t="s">
        <v>201</v>
      </c>
      <c r="C231" s="20" t="s">
        <v>174</v>
      </c>
      <c r="D231" s="20" t="s">
        <v>109</v>
      </c>
      <c r="E231" s="20" t="s">
        <v>54</v>
      </c>
      <c r="F231" s="20" t="s">
        <v>76</v>
      </c>
      <c r="G231" s="20" t="n">
        <v>3</v>
      </c>
      <c r="H231" s="20" t="n">
        <v>32</v>
      </c>
      <c r="I231" s="20" t="s">
        <v>112</v>
      </c>
    </row>
    <row r="232" customFormat="false" ht="15" hidden="false" customHeight="false" outlineLevel="0" collapsed="false">
      <c r="A232" s="20" t="s">
        <v>633</v>
      </c>
      <c r="B232" s="20" t="s">
        <v>466</v>
      </c>
      <c r="C232" s="20" t="s">
        <v>634</v>
      </c>
      <c r="D232" s="20" t="s">
        <v>70</v>
      </c>
      <c r="E232" s="20" t="s">
        <v>92</v>
      </c>
      <c r="F232" s="20" t="s">
        <v>105</v>
      </c>
      <c r="G232" s="20" t="n">
        <v>1</v>
      </c>
      <c r="H232" s="20" t="s">
        <v>126</v>
      </c>
      <c r="I232" s="20" t="s">
        <v>50</v>
      </c>
    </row>
    <row r="233" customFormat="false" ht="15" hidden="false" customHeight="false" outlineLevel="0" collapsed="false">
      <c r="A233" s="20" t="s">
        <v>635</v>
      </c>
      <c r="B233" s="20" t="s">
        <v>636</v>
      </c>
      <c r="C233" s="20" t="s">
        <v>380</v>
      </c>
      <c r="D233" s="20" t="s">
        <v>47</v>
      </c>
      <c r="E233" s="20" t="s">
        <v>92</v>
      </c>
      <c r="F233" s="20" t="s">
        <v>105</v>
      </c>
      <c r="G233" s="20" t="n">
        <v>1</v>
      </c>
      <c r="H233" s="20" t="n">
        <v>49</v>
      </c>
      <c r="I233" s="20" t="s">
        <v>50</v>
      </c>
    </row>
    <row r="234" customFormat="false" ht="15" hidden="false" customHeight="false" outlineLevel="0" collapsed="false">
      <c r="A234" s="20" t="s">
        <v>637</v>
      </c>
      <c r="B234" s="20" t="s">
        <v>638</v>
      </c>
      <c r="C234" s="20" t="s">
        <v>86</v>
      </c>
      <c r="D234" s="20" t="s">
        <v>109</v>
      </c>
      <c r="E234" s="20" t="s">
        <v>101</v>
      </c>
      <c r="F234" s="20" t="s">
        <v>49</v>
      </c>
      <c r="G234" s="20" t="n">
        <v>2</v>
      </c>
      <c r="H234" s="20" t="n">
        <v>18</v>
      </c>
      <c r="I234" s="20" t="s">
        <v>50</v>
      </c>
    </row>
    <row r="235" customFormat="false" ht="15" hidden="false" customHeight="false" outlineLevel="0" collapsed="false">
      <c r="A235" s="20" t="s">
        <v>639</v>
      </c>
      <c r="B235" s="20" t="s">
        <v>640</v>
      </c>
      <c r="C235" s="20" t="s">
        <v>80</v>
      </c>
      <c r="D235" s="20" t="s">
        <v>171</v>
      </c>
      <c r="E235" s="20" t="s">
        <v>92</v>
      </c>
      <c r="F235" s="20" t="s">
        <v>93</v>
      </c>
      <c r="G235" s="20" t="n">
        <v>1</v>
      </c>
      <c r="H235" s="20" t="s">
        <v>94</v>
      </c>
      <c r="I235" s="20" t="s">
        <v>136</v>
      </c>
    </row>
    <row r="236" customFormat="false" ht="15" hidden="false" customHeight="false" outlineLevel="0" collapsed="false">
      <c r="A236" s="20" t="s">
        <v>641</v>
      </c>
      <c r="B236" s="20" t="s">
        <v>642</v>
      </c>
      <c r="C236" s="20" t="s">
        <v>377</v>
      </c>
      <c r="D236" s="20" t="s">
        <v>171</v>
      </c>
      <c r="E236" s="20" t="s">
        <v>54</v>
      </c>
      <c r="F236" s="20" t="s">
        <v>76</v>
      </c>
      <c r="G236" s="20" t="n">
        <v>2</v>
      </c>
      <c r="H236" s="20" t="n">
        <v>32</v>
      </c>
      <c r="I236" s="20" t="s">
        <v>50</v>
      </c>
    </row>
    <row r="237" customFormat="false" ht="15" hidden="false" customHeight="false" outlineLevel="0" collapsed="false">
      <c r="A237" s="20" t="s">
        <v>643</v>
      </c>
      <c r="B237" s="20" t="s">
        <v>644</v>
      </c>
      <c r="C237" s="20" t="s">
        <v>216</v>
      </c>
      <c r="D237" s="20" t="s">
        <v>65</v>
      </c>
      <c r="E237" s="20" t="s">
        <v>54</v>
      </c>
      <c r="F237" s="20" t="s">
        <v>55</v>
      </c>
      <c r="G237" s="20" t="n">
        <v>4</v>
      </c>
      <c r="H237" s="20" t="n">
        <v>38</v>
      </c>
      <c r="I237" s="20" t="s">
        <v>50</v>
      </c>
    </row>
    <row r="238" customFormat="false" ht="15" hidden="false" customHeight="false" outlineLevel="0" collapsed="false">
      <c r="A238" s="20" t="s">
        <v>520</v>
      </c>
      <c r="B238" s="20" t="s">
        <v>521</v>
      </c>
      <c r="C238" s="20" t="s">
        <v>522</v>
      </c>
      <c r="D238" s="20" t="s">
        <v>70</v>
      </c>
      <c r="E238" s="20" t="s">
        <v>81</v>
      </c>
      <c r="F238" s="20" t="s">
        <v>61</v>
      </c>
      <c r="G238" s="20" t="n">
        <v>1</v>
      </c>
      <c r="H238" s="20" t="n">
        <v>35</v>
      </c>
      <c r="I238" s="20" t="s">
        <v>163</v>
      </c>
    </row>
    <row r="239" customFormat="false" ht="15" hidden="false" customHeight="false" outlineLevel="0" collapsed="false">
      <c r="A239" s="20" t="s">
        <v>645</v>
      </c>
      <c r="B239" s="20" t="s">
        <v>646</v>
      </c>
      <c r="C239" s="20" t="s">
        <v>100</v>
      </c>
      <c r="D239" s="20" t="s">
        <v>65</v>
      </c>
      <c r="E239" s="20" t="s">
        <v>81</v>
      </c>
      <c r="F239" s="20" t="s">
        <v>67</v>
      </c>
      <c r="G239" s="20" t="n">
        <v>1</v>
      </c>
      <c r="H239" s="20" t="n">
        <v>45</v>
      </c>
      <c r="I239" s="20" t="s">
        <v>50</v>
      </c>
    </row>
    <row r="240" customFormat="false" ht="15" hidden="false" customHeight="false" outlineLevel="0" collapsed="false">
      <c r="A240" s="20" t="s">
        <v>647</v>
      </c>
      <c r="B240" s="20" t="s">
        <v>648</v>
      </c>
      <c r="C240" s="20" t="s">
        <v>457</v>
      </c>
      <c r="D240" s="20" t="s">
        <v>65</v>
      </c>
      <c r="E240" s="20" t="s">
        <v>48</v>
      </c>
      <c r="F240" s="20" t="s">
        <v>49</v>
      </c>
      <c r="G240" s="20" t="n">
        <v>1</v>
      </c>
      <c r="H240" s="20" t="s">
        <v>180</v>
      </c>
      <c r="I240" s="20" t="s">
        <v>50</v>
      </c>
    </row>
    <row r="241" customFormat="false" ht="15" hidden="false" customHeight="false" outlineLevel="0" collapsed="false">
      <c r="A241" s="20" t="s">
        <v>649</v>
      </c>
      <c r="B241" s="20" t="s">
        <v>650</v>
      </c>
      <c r="C241" s="20" t="s">
        <v>64</v>
      </c>
      <c r="D241" s="20" t="s">
        <v>70</v>
      </c>
      <c r="E241" s="20" t="s">
        <v>48</v>
      </c>
      <c r="F241" s="20" t="s">
        <v>116</v>
      </c>
      <c r="G241" s="20" t="n">
        <v>1</v>
      </c>
      <c r="H241" s="20" t="n">
        <v>28</v>
      </c>
      <c r="I241" s="20" t="s">
        <v>199</v>
      </c>
    </row>
    <row r="242" customFormat="false" ht="15" hidden="false" customHeight="false" outlineLevel="0" collapsed="false">
      <c r="A242" s="20" t="s">
        <v>651</v>
      </c>
      <c r="B242" s="20" t="s">
        <v>652</v>
      </c>
      <c r="C242" s="20" t="s">
        <v>457</v>
      </c>
      <c r="D242" s="20" t="s">
        <v>70</v>
      </c>
      <c r="E242" s="20" t="s">
        <v>48</v>
      </c>
      <c r="F242" s="20" t="s">
        <v>144</v>
      </c>
      <c r="G242" s="20" t="n">
        <v>1</v>
      </c>
      <c r="H242" s="20" t="n">
        <v>54</v>
      </c>
      <c r="I242" s="20" t="s">
        <v>50</v>
      </c>
    </row>
    <row r="243" customFormat="false" ht="15" hidden="false" customHeight="false" outlineLevel="0" collapsed="false">
      <c r="A243" s="20" t="s">
        <v>653</v>
      </c>
      <c r="B243" s="21" t="n">
        <v>45840</v>
      </c>
      <c r="C243" s="20" t="s">
        <v>447</v>
      </c>
      <c r="D243" s="20" t="s">
        <v>65</v>
      </c>
      <c r="E243" s="20" t="s">
        <v>297</v>
      </c>
      <c r="F243" s="20" t="s">
        <v>121</v>
      </c>
      <c r="G243" s="20" t="n">
        <v>1</v>
      </c>
      <c r="H243" s="20" t="s">
        <v>122</v>
      </c>
      <c r="I243" s="20" t="s">
        <v>136</v>
      </c>
    </row>
    <row r="244" customFormat="false" ht="15" hidden="false" customHeight="false" outlineLevel="0" collapsed="false">
      <c r="A244" s="20" t="s">
        <v>598</v>
      </c>
      <c r="B244" s="20" t="s">
        <v>599</v>
      </c>
      <c r="C244" s="20" t="s">
        <v>600</v>
      </c>
      <c r="D244" s="20" t="s">
        <v>65</v>
      </c>
      <c r="E244" s="20" t="s">
        <v>48</v>
      </c>
      <c r="F244" s="20" t="s">
        <v>144</v>
      </c>
      <c r="G244" s="20" t="n">
        <v>1</v>
      </c>
      <c r="H244" s="20" t="s">
        <v>229</v>
      </c>
      <c r="I244" s="20" t="s">
        <v>50</v>
      </c>
    </row>
    <row r="245" customFormat="false" ht="15" hidden="false" customHeight="false" outlineLevel="0" collapsed="false">
      <c r="A245" s="20" t="s">
        <v>654</v>
      </c>
      <c r="B245" s="20" t="s">
        <v>268</v>
      </c>
      <c r="C245" s="20" t="s">
        <v>210</v>
      </c>
      <c r="D245" s="20" t="s">
        <v>65</v>
      </c>
      <c r="E245" s="20" t="s">
        <v>54</v>
      </c>
      <c r="F245" s="20" t="s">
        <v>76</v>
      </c>
      <c r="G245" s="20" t="n">
        <v>1</v>
      </c>
      <c r="H245" s="20" t="s">
        <v>77</v>
      </c>
      <c r="I245" s="20" t="s">
        <v>199</v>
      </c>
    </row>
    <row r="246" customFormat="false" ht="15" hidden="false" customHeight="false" outlineLevel="0" collapsed="false">
      <c r="A246" s="20" t="s">
        <v>655</v>
      </c>
      <c r="B246" s="20" t="s">
        <v>656</v>
      </c>
      <c r="C246" s="20" t="s">
        <v>278</v>
      </c>
      <c r="D246" s="20" t="s">
        <v>70</v>
      </c>
      <c r="E246" s="20" t="s">
        <v>81</v>
      </c>
      <c r="F246" s="20" t="s">
        <v>61</v>
      </c>
      <c r="G246" s="20" t="n">
        <v>1</v>
      </c>
      <c r="H246" s="20" t="n">
        <v>35</v>
      </c>
      <c r="I246" s="20" t="s">
        <v>50</v>
      </c>
    </row>
    <row r="247" customFormat="false" ht="15" hidden="false" customHeight="false" outlineLevel="0" collapsed="false">
      <c r="A247" s="20" t="s">
        <v>657</v>
      </c>
      <c r="B247" s="20" t="s">
        <v>658</v>
      </c>
      <c r="C247" s="20" t="s">
        <v>174</v>
      </c>
      <c r="D247" s="20" t="s">
        <v>47</v>
      </c>
      <c r="E247" s="20" t="s">
        <v>81</v>
      </c>
      <c r="F247" s="20" t="s">
        <v>61</v>
      </c>
      <c r="G247" s="20" t="n">
        <v>1</v>
      </c>
      <c r="H247" s="20" t="n">
        <v>35</v>
      </c>
      <c r="I247" s="20" t="s">
        <v>50</v>
      </c>
    </row>
    <row r="248" customFormat="false" ht="15" hidden="false" customHeight="false" outlineLevel="0" collapsed="false">
      <c r="A248" s="20" t="s">
        <v>307</v>
      </c>
      <c r="B248" s="20" t="s">
        <v>308</v>
      </c>
      <c r="C248" s="20" t="s">
        <v>239</v>
      </c>
      <c r="D248" s="20" t="s">
        <v>282</v>
      </c>
      <c r="E248" s="20" t="s">
        <v>81</v>
      </c>
      <c r="F248" s="20" t="s">
        <v>82</v>
      </c>
      <c r="G248" s="20" t="n">
        <v>3</v>
      </c>
      <c r="H248" s="20" t="n">
        <v>22</v>
      </c>
      <c r="I248" s="20" t="s">
        <v>50</v>
      </c>
    </row>
    <row r="249" customFormat="false" ht="15" hidden="false" customHeight="false" outlineLevel="0" collapsed="false">
      <c r="A249" s="20" t="s">
        <v>659</v>
      </c>
      <c r="B249" s="21" t="n">
        <v>46003</v>
      </c>
      <c r="C249" s="20" t="s">
        <v>634</v>
      </c>
      <c r="D249" s="20" t="s">
        <v>70</v>
      </c>
      <c r="E249" s="20" t="s">
        <v>120</v>
      </c>
      <c r="F249" s="20" t="s">
        <v>236</v>
      </c>
      <c r="G249" s="20" t="n">
        <v>1</v>
      </c>
      <c r="H249" s="20" t="s">
        <v>242</v>
      </c>
      <c r="I249" s="20" t="s">
        <v>50</v>
      </c>
    </row>
    <row r="250" customFormat="false" ht="15" hidden="false" customHeight="false" outlineLevel="0" collapsed="false">
      <c r="A250" s="20" t="s">
        <v>660</v>
      </c>
      <c r="B250" s="20" t="s">
        <v>661</v>
      </c>
      <c r="C250" s="20"/>
      <c r="D250" s="20" t="s">
        <v>587</v>
      </c>
      <c r="E250" s="20" t="s">
        <v>140</v>
      </c>
      <c r="F250" s="20" t="s">
        <v>105</v>
      </c>
      <c r="G250" s="20" t="n">
        <v>3</v>
      </c>
      <c r="H250" s="20" t="n">
        <v>49</v>
      </c>
      <c r="I250" s="20" t="s">
        <v>163</v>
      </c>
    </row>
    <row r="251" customFormat="false" ht="15" hidden="false" customHeight="false" outlineLevel="0" collapsed="false">
      <c r="A251" s="20" t="s">
        <v>662</v>
      </c>
      <c r="B251" s="20" t="s">
        <v>663</v>
      </c>
      <c r="C251" s="20" t="s">
        <v>195</v>
      </c>
      <c r="D251" s="20" t="s">
        <v>109</v>
      </c>
      <c r="E251" s="20" t="s">
        <v>92</v>
      </c>
      <c r="F251" s="20" t="s">
        <v>196</v>
      </c>
      <c r="G251" s="20" t="n">
        <v>2</v>
      </c>
      <c r="H251" s="20" t="n">
        <v>89</v>
      </c>
      <c r="I251" s="20" t="s">
        <v>50</v>
      </c>
    </row>
    <row r="252" customFormat="false" ht="15" hidden="false" customHeight="false" outlineLevel="0" collapsed="false">
      <c r="A252" s="20" t="s">
        <v>664</v>
      </c>
      <c r="B252" s="20" t="s">
        <v>665</v>
      </c>
      <c r="C252" s="20" t="s">
        <v>483</v>
      </c>
      <c r="D252" s="20" t="s">
        <v>319</v>
      </c>
      <c r="E252" s="20" t="s">
        <v>54</v>
      </c>
      <c r="F252" s="20" t="s">
        <v>76</v>
      </c>
      <c r="G252" s="20" t="n">
        <v>1</v>
      </c>
      <c r="H252" s="20" t="n">
        <v>32</v>
      </c>
      <c r="I252" s="20" t="s">
        <v>50</v>
      </c>
    </row>
    <row r="253" customFormat="false" ht="15" hidden="false" customHeight="false" outlineLevel="0" collapsed="false">
      <c r="A253" s="20" t="s">
        <v>620</v>
      </c>
      <c r="B253" s="20" t="s">
        <v>621</v>
      </c>
      <c r="C253" s="20" t="s">
        <v>241</v>
      </c>
      <c r="D253" s="20" t="s">
        <v>587</v>
      </c>
      <c r="E253" s="20" t="s">
        <v>48</v>
      </c>
      <c r="F253" s="20" t="s">
        <v>116</v>
      </c>
      <c r="G253" s="20" t="n">
        <v>1</v>
      </c>
      <c r="H253" s="20" t="n">
        <v>28</v>
      </c>
      <c r="I253" s="20" t="s">
        <v>50</v>
      </c>
    </row>
    <row r="254" customFormat="false" ht="15" hidden="false" customHeight="false" outlineLevel="0" collapsed="false">
      <c r="A254" s="20" t="s">
        <v>666</v>
      </c>
      <c r="B254" s="20" t="s">
        <v>667</v>
      </c>
      <c r="C254" s="20" t="s">
        <v>86</v>
      </c>
      <c r="D254" s="20" t="s">
        <v>157</v>
      </c>
      <c r="E254" s="20" t="s">
        <v>60</v>
      </c>
      <c r="F254" s="20" t="s">
        <v>67</v>
      </c>
      <c r="G254" s="20" t="n">
        <v>1</v>
      </c>
      <c r="H254" s="20" t="n">
        <v>45</v>
      </c>
      <c r="I254" s="20" t="s">
        <v>50</v>
      </c>
    </row>
    <row r="255" customFormat="false" ht="15" hidden="false" customHeight="false" outlineLevel="0" collapsed="false">
      <c r="A255" s="20" t="s">
        <v>668</v>
      </c>
      <c r="B255" s="21" t="n">
        <v>45921</v>
      </c>
      <c r="C255" s="20" t="s">
        <v>100</v>
      </c>
      <c r="D255" s="20" t="s">
        <v>47</v>
      </c>
      <c r="E255" s="20" t="s">
        <v>54</v>
      </c>
      <c r="F255" s="20" t="s">
        <v>72</v>
      </c>
      <c r="G255" s="20" t="n">
        <v>1</v>
      </c>
      <c r="H255" s="20" t="n">
        <v>24</v>
      </c>
      <c r="I255" s="20" t="s">
        <v>50</v>
      </c>
    </row>
    <row r="256" customFormat="false" ht="15" hidden="false" customHeight="false" outlineLevel="0" collapsed="false">
      <c r="A256" s="20" t="s">
        <v>669</v>
      </c>
      <c r="B256" s="20" t="s">
        <v>670</v>
      </c>
      <c r="C256" s="20" t="s">
        <v>519</v>
      </c>
      <c r="D256" s="20" t="s">
        <v>59</v>
      </c>
      <c r="E256" s="20" t="s">
        <v>54</v>
      </c>
      <c r="F256" s="20" t="s">
        <v>76</v>
      </c>
      <c r="G256" s="20" t="n">
        <v>2</v>
      </c>
      <c r="H256" s="20" t="n">
        <v>32</v>
      </c>
      <c r="I256" s="20" t="s">
        <v>50</v>
      </c>
    </row>
    <row r="257" customFormat="false" ht="15" hidden="false" customHeight="false" outlineLevel="0" collapsed="false">
      <c r="A257" s="20" t="s">
        <v>671</v>
      </c>
      <c r="B257" s="20" t="s">
        <v>623</v>
      </c>
      <c r="C257" s="20" t="s">
        <v>156</v>
      </c>
      <c r="D257" s="20" t="s">
        <v>59</v>
      </c>
      <c r="E257" s="20" t="s">
        <v>81</v>
      </c>
      <c r="F257" s="20" t="s">
        <v>67</v>
      </c>
      <c r="G257" s="20" t="n">
        <v>1</v>
      </c>
      <c r="H257" s="20" t="n">
        <v>45</v>
      </c>
      <c r="I257" s="20" t="s">
        <v>50</v>
      </c>
    </row>
    <row r="258" customFormat="false" ht="15" hidden="false" customHeight="false" outlineLevel="0" collapsed="false">
      <c r="A258" s="20" t="s">
        <v>672</v>
      </c>
      <c r="B258" s="21" t="n">
        <v>45658</v>
      </c>
      <c r="C258" s="20" t="s">
        <v>367</v>
      </c>
      <c r="D258" s="20" t="s">
        <v>47</v>
      </c>
      <c r="E258" s="20" t="s">
        <v>292</v>
      </c>
      <c r="F258" s="20" t="s">
        <v>55</v>
      </c>
      <c r="G258" s="20" t="n">
        <v>1</v>
      </c>
      <c r="H258" s="20" t="n">
        <v>38</v>
      </c>
      <c r="I258" s="20" t="s">
        <v>136</v>
      </c>
    </row>
    <row r="259" customFormat="false" ht="15" hidden="false" customHeight="false" outlineLevel="0" collapsed="false">
      <c r="A259" s="20" t="s">
        <v>673</v>
      </c>
      <c r="B259" s="20" t="s">
        <v>674</v>
      </c>
      <c r="C259" s="20" t="s">
        <v>675</v>
      </c>
      <c r="D259" s="20" t="s">
        <v>157</v>
      </c>
      <c r="E259" s="20" t="s">
        <v>81</v>
      </c>
      <c r="F259" s="20" t="s">
        <v>82</v>
      </c>
      <c r="G259" s="20" t="n">
        <v>1</v>
      </c>
      <c r="H259" s="20" t="n">
        <v>22</v>
      </c>
      <c r="I259" s="20" t="s">
        <v>288</v>
      </c>
    </row>
    <row r="260" customFormat="false" ht="15" hidden="false" customHeight="false" outlineLevel="0" collapsed="false">
      <c r="A260" s="20" t="s">
        <v>676</v>
      </c>
      <c r="B260" s="20" t="s">
        <v>677</v>
      </c>
      <c r="C260" s="20"/>
      <c r="D260" s="20" t="s">
        <v>87</v>
      </c>
      <c r="E260" s="20" t="s">
        <v>81</v>
      </c>
      <c r="F260" s="20" t="s">
        <v>82</v>
      </c>
      <c r="G260" s="20" t="n">
        <v>1</v>
      </c>
      <c r="H260" s="20" t="n">
        <v>22</v>
      </c>
      <c r="I260" s="20" t="s">
        <v>163</v>
      </c>
    </row>
    <row r="261" customFormat="false" ht="15" hidden="false" customHeight="false" outlineLevel="0" collapsed="false">
      <c r="A261" s="20" t="s">
        <v>678</v>
      </c>
      <c r="B261" s="21" t="n">
        <v>45672</v>
      </c>
      <c r="C261" s="20" t="s">
        <v>119</v>
      </c>
      <c r="D261" s="20" t="s">
        <v>70</v>
      </c>
      <c r="E261" s="20" t="s">
        <v>110</v>
      </c>
      <c r="F261" s="20" t="s">
        <v>111</v>
      </c>
      <c r="G261" s="20" t="n">
        <v>2</v>
      </c>
      <c r="H261" s="20" t="n">
        <v>16</v>
      </c>
      <c r="I261" s="20" t="s">
        <v>50</v>
      </c>
    </row>
    <row r="262" customFormat="false" ht="15" hidden="false" customHeight="false" outlineLevel="0" collapsed="false">
      <c r="A262" s="20" t="s">
        <v>679</v>
      </c>
      <c r="B262" s="21" t="n">
        <v>45691</v>
      </c>
      <c r="C262" s="20" t="s">
        <v>675</v>
      </c>
      <c r="D262" s="20" t="s">
        <v>70</v>
      </c>
      <c r="E262" s="20" t="s">
        <v>54</v>
      </c>
      <c r="F262" s="20" t="s">
        <v>76</v>
      </c>
      <c r="G262" s="20" t="n">
        <v>1</v>
      </c>
      <c r="H262" s="20" t="n">
        <v>32</v>
      </c>
      <c r="I262" s="20" t="s">
        <v>50</v>
      </c>
    </row>
    <row r="263" customFormat="false" ht="15" hidden="false" customHeight="false" outlineLevel="0" collapsed="false">
      <c r="A263" s="20" t="s">
        <v>680</v>
      </c>
      <c r="B263" s="20" t="s">
        <v>427</v>
      </c>
      <c r="C263" s="20" t="s">
        <v>250</v>
      </c>
      <c r="D263" s="20" t="s">
        <v>47</v>
      </c>
      <c r="E263" s="20" t="s">
        <v>292</v>
      </c>
      <c r="F263" s="20" t="s">
        <v>76</v>
      </c>
      <c r="G263" s="20" t="n">
        <v>3</v>
      </c>
      <c r="H263" s="20" t="n">
        <v>32</v>
      </c>
      <c r="I263" s="20" t="s">
        <v>50</v>
      </c>
    </row>
    <row r="264" customFormat="false" ht="15" hidden="false" customHeight="false" outlineLevel="0" collapsed="false">
      <c r="A264" s="20" t="s">
        <v>681</v>
      </c>
      <c r="B264" s="20" t="s">
        <v>682</v>
      </c>
      <c r="C264" s="20" t="s">
        <v>161</v>
      </c>
      <c r="D264" s="20" t="s">
        <v>47</v>
      </c>
      <c r="E264" s="20" t="s">
        <v>48</v>
      </c>
      <c r="F264" s="20" t="s">
        <v>144</v>
      </c>
      <c r="G264" s="20" t="n">
        <v>2</v>
      </c>
      <c r="H264" s="20" t="n">
        <v>54</v>
      </c>
      <c r="I264" s="20" t="s">
        <v>136</v>
      </c>
    </row>
    <row r="265" customFormat="false" ht="15" hidden="false" customHeight="false" outlineLevel="0" collapsed="false">
      <c r="A265" s="20" t="s">
        <v>683</v>
      </c>
      <c r="B265" s="20" t="s">
        <v>684</v>
      </c>
      <c r="C265" s="20" t="s">
        <v>100</v>
      </c>
      <c r="D265" s="20" t="s">
        <v>301</v>
      </c>
      <c r="E265" s="20" t="s">
        <v>92</v>
      </c>
      <c r="F265" s="20" t="s">
        <v>93</v>
      </c>
      <c r="G265" s="20" t="n">
        <v>2</v>
      </c>
      <c r="H265" s="20" t="s">
        <v>94</v>
      </c>
      <c r="I265" s="20" t="s">
        <v>50</v>
      </c>
    </row>
    <row r="266" customFormat="false" ht="15" hidden="false" customHeight="false" outlineLevel="0" collapsed="false">
      <c r="A266" s="20" t="s">
        <v>685</v>
      </c>
      <c r="B266" s="21" t="n">
        <v>45671</v>
      </c>
      <c r="C266" s="20" t="s">
        <v>278</v>
      </c>
      <c r="D266" s="20" t="s">
        <v>59</v>
      </c>
      <c r="E266" s="20" t="s">
        <v>207</v>
      </c>
      <c r="F266" s="20" t="s">
        <v>105</v>
      </c>
      <c r="G266" s="20" t="n">
        <v>1</v>
      </c>
      <c r="H266" s="20" t="n">
        <v>49</v>
      </c>
      <c r="I266" s="20" t="s">
        <v>50</v>
      </c>
    </row>
    <row r="267" customFormat="false" ht="15" hidden="false" customHeight="false" outlineLevel="0" collapsed="false">
      <c r="A267" s="20" t="s">
        <v>686</v>
      </c>
      <c r="B267" s="20" t="s">
        <v>331</v>
      </c>
      <c r="C267" s="20" t="s">
        <v>69</v>
      </c>
      <c r="D267" s="20" t="s">
        <v>109</v>
      </c>
      <c r="E267" s="20" t="s">
        <v>92</v>
      </c>
      <c r="F267" s="20" t="s">
        <v>93</v>
      </c>
      <c r="G267" s="20" t="n">
        <v>4</v>
      </c>
      <c r="H267" s="20" t="s">
        <v>94</v>
      </c>
      <c r="I267" s="20" t="s">
        <v>50</v>
      </c>
    </row>
    <row r="268" customFormat="false" ht="15" hidden="false" customHeight="false" outlineLevel="0" collapsed="false">
      <c r="A268" s="20" t="s">
        <v>687</v>
      </c>
      <c r="B268" s="20" t="s">
        <v>688</v>
      </c>
      <c r="C268" s="20"/>
      <c r="D268" s="20" t="s">
        <v>319</v>
      </c>
      <c r="E268" s="20" t="s">
        <v>92</v>
      </c>
      <c r="F268" s="20" t="s">
        <v>196</v>
      </c>
      <c r="G268" s="20" t="n">
        <v>1</v>
      </c>
      <c r="H268" s="20" t="n">
        <v>89</v>
      </c>
      <c r="I268" s="20" t="s">
        <v>50</v>
      </c>
    </row>
    <row r="269" customFormat="false" ht="15" hidden="false" customHeight="false" outlineLevel="0" collapsed="false">
      <c r="A269" s="20" t="s">
        <v>689</v>
      </c>
      <c r="B269" s="21" t="n">
        <v>45675</v>
      </c>
      <c r="C269" s="20" t="s">
        <v>690</v>
      </c>
      <c r="D269" s="20" t="s">
        <v>70</v>
      </c>
      <c r="E269" s="20" t="s">
        <v>48</v>
      </c>
      <c r="F269" s="20" t="s">
        <v>116</v>
      </c>
      <c r="G269" s="20" t="n">
        <v>3</v>
      </c>
      <c r="H269" s="20" t="n">
        <v>28</v>
      </c>
      <c r="I269" s="20" t="s">
        <v>50</v>
      </c>
    </row>
    <row r="270" customFormat="false" ht="15" hidden="false" customHeight="false" outlineLevel="0" collapsed="false">
      <c r="A270" s="20" t="s">
        <v>691</v>
      </c>
      <c r="B270" s="21" t="n">
        <v>45828</v>
      </c>
      <c r="C270" s="20" t="s">
        <v>139</v>
      </c>
      <c r="D270" s="20" t="s">
        <v>47</v>
      </c>
      <c r="E270" s="20" t="s">
        <v>48</v>
      </c>
      <c r="F270" s="20" t="s">
        <v>116</v>
      </c>
      <c r="G270" s="20" t="n">
        <v>1</v>
      </c>
      <c r="H270" s="20" t="n">
        <v>28</v>
      </c>
      <c r="I270" s="20" t="s">
        <v>50</v>
      </c>
    </row>
    <row r="271" customFormat="false" ht="15" hidden="false" customHeight="false" outlineLevel="0" collapsed="false">
      <c r="A271" s="20" t="s">
        <v>692</v>
      </c>
      <c r="B271" s="21" t="n">
        <v>45963</v>
      </c>
      <c r="C271" s="20" t="s">
        <v>100</v>
      </c>
      <c r="D271" s="20" t="s">
        <v>319</v>
      </c>
      <c r="E271" s="20" t="s">
        <v>54</v>
      </c>
      <c r="F271" s="20" t="s">
        <v>76</v>
      </c>
      <c r="G271" s="20" t="n">
        <v>2</v>
      </c>
      <c r="H271" s="20" t="s">
        <v>77</v>
      </c>
      <c r="I271" s="20" t="s">
        <v>50</v>
      </c>
    </row>
    <row r="272" customFormat="false" ht="15" hidden="false" customHeight="false" outlineLevel="0" collapsed="false">
      <c r="A272" s="20" t="s">
        <v>693</v>
      </c>
      <c r="B272" s="21" t="n">
        <v>45880</v>
      </c>
      <c r="C272" s="20" t="s">
        <v>239</v>
      </c>
      <c r="D272" s="20" t="s">
        <v>65</v>
      </c>
      <c r="E272" s="20" t="s">
        <v>92</v>
      </c>
      <c r="F272" s="20" t="s">
        <v>196</v>
      </c>
      <c r="G272" s="20" t="n">
        <v>3</v>
      </c>
      <c r="H272" s="20" t="n">
        <v>89</v>
      </c>
      <c r="I272" s="20" t="s">
        <v>50</v>
      </c>
    </row>
    <row r="273" customFormat="false" ht="15" hidden="false" customHeight="false" outlineLevel="0" collapsed="false">
      <c r="A273" s="20" t="s">
        <v>694</v>
      </c>
      <c r="B273" s="20" t="s">
        <v>695</v>
      </c>
      <c r="C273" s="20" t="s">
        <v>624</v>
      </c>
      <c r="D273" s="20" t="s">
        <v>47</v>
      </c>
      <c r="E273" s="20" t="s">
        <v>297</v>
      </c>
      <c r="F273" s="20" t="s">
        <v>121</v>
      </c>
      <c r="G273" s="20" t="n">
        <v>1</v>
      </c>
      <c r="H273" s="20" t="s">
        <v>122</v>
      </c>
      <c r="I273" s="20" t="s">
        <v>50</v>
      </c>
    </row>
    <row r="274" customFormat="false" ht="15" hidden="false" customHeight="false" outlineLevel="0" collapsed="false">
      <c r="A274" s="20" t="s">
        <v>696</v>
      </c>
      <c r="B274" s="20" t="s">
        <v>697</v>
      </c>
      <c r="C274" s="20" t="s">
        <v>153</v>
      </c>
      <c r="D274" s="20" t="s">
        <v>47</v>
      </c>
      <c r="E274" s="20" t="s">
        <v>92</v>
      </c>
      <c r="F274" s="20" t="s">
        <v>105</v>
      </c>
      <c r="G274" s="20" t="n">
        <v>2</v>
      </c>
      <c r="H274" s="20" t="n">
        <v>49</v>
      </c>
      <c r="I274" s="20" t="s">
        <v>50</v>
      </c>
    </row>
    <row r="275" customFormat="false" ht="15" hidden="false" customHeight="false" outlineLevel="0" collapsed="false">
      <c r="A275" s="20" t="s">
        <v>698</v>
      </c>
      <c r="B275" s="20" t="s">
        <v>699</v>
      </c>
      <c r="C275" s="20" t="s">
        <v>397</v>
      </c>
      <c r="D275" s="20" t="s">
        <v>47</v>
      </c>
      <c r="E275" s="20" t="s">
        <v>81</v>
      </c>
      <c r="F275" s="20" t="s">
        <v>67</v>
      </c>
      <c r="G275" s="20" t="n">
        <v>1</v>
      </c>
      <c r="H275" s="20" t="n">
        <v>45</v>
      </c>
      <c r="I275" s="20" t="s">
        <v>50</v>
      </c>
    </row>
    <row r="276" customFormat="false" ht="15" hidden="false" customHeight="false" outlineLevel="0" collapsed="false">
      <c r="A276" s="20" t="s">
        <v>700</v>
      </c>
      <c r="B276" s="20" t="s">
        <v>701</v>
      </c>
      <c r="C276" s="20" t="s">
        <v>86</v>
      </c>
      <c r="D276" s="20" t="s">
        <v>345</v>
      </c>
      <c r="E276" s="20" t="s">
        <v>54</v>
      </c>
      <c r="F276" s="20" t="s">
        <v>55</v>
      </c>
      <c r="G276" s="20" t="n">
        <v>1</v>
      </c>
      <c r="H276" s="20" t="n">
        <v>38</v>
      </c>
      <c r="I276" s="20" t="s">
        <v>50</v>
      </c>
    </row>
    <row r="277" customFormat="false" ht="15" hidden="false" customHeight="false" outlineLevel="0" collapsed="false">
      <c r="A277" s="20" t="s">
        <v>702</v>
      </c>
      <c r="B277" s="20" t="s">
        <v>703</v>
      </c>
      <c r="C277" s="20" t="s">
        <v>286</v>
      </c>
      <c r="D277" s="20" t="s">
        <v>70</v>
      </c>
      <c r="E277" s="20" t="s">
        <v>81</v>
      </c>
      <c r="F277" s="20" t="s">
        <v>82</v>
      </c>
      <c r="G277" s="20" t="n">
        <v>1</v>
      </c>
      <c r="H277" s="20" t="n">
        <v>22</v>
      </c>
      <c r="I277" s="20" t="s">
        <v>50</v>
      </c>
    </row>
    <row r="278" customFormat="false" ht="15" hidden="false" customHeight="false" outlineLevel="0" collapsed="false">
      <c r="A278" s="20" t="s">
        <v>704</v>
      </c>
      <c r="B278" s="20" t="s">
        <v>705</v>
      </c>
      <c r="C278" s="20" t="s">
        <v>129</v>
      </c>
      <c r="D278" s="20" t="s">
        <v>109</v>
      </c>
      <c r="E278" s="20" t="s">
        <v>81</v>
      </c>
      <c r="F278" s="20" t="s">
        <v>67</v>
      </c>
      <c r="G278" s="20" t="n">
        <v>3</v>
      </c>
      <c r="H278" s="20" t="n">
        <v>45</v>
      </c>
      <c r="I278" s="20" t="s">
        <v>50</v>
      </c>
    </row>
    <row r="279" customFormat="false" ht="15" hidden="false" customHeight="false" outlineLevel="0" collapsed="false">
      <c r="A279" s="20" t="s">
        <v>706</v>
      </c>
      <c r="B279" s="20" t="s">
        <v>618</v>
      </c>
      <c r="C279" s="20" t="s">
        <v>80</v>
      </c>
      <c r="D279" s="20" t="s">
        <v>707</v>
      </c>
      <c r="E279" s="20" t="s">
        <v>54</v>
      </c>
      <c r="F279" s="20" t="s">
        <v>72</v>
      </c>
      <c r="G279" s="20" t="n">
        <v>1</v>
      </c>
      <c r="H279" s="20" t="n">
        <v>24</v>
      </c>
      <c r="I279" s="20" t="s">
        <v>50</v>
      </c>
    </row>
    <row r="280" customFormat="false" ht="15" hidden="false" customHeight="false" outlineLevel="0" collapsed="false">
      <c r="A280" s="20" t="s">
        <v>708</v>
      </c>
      <c r="B280" s="20" t="s">
        <v>709</v>
      </c>
      <c r="C280" s="20" t="s">
        <v>210</v>
      </c>
      <c r="D280" s="20" t="s">
        <v>47</v>
      </c>
      <c r="E280" s="20" t="s">
        <v>60</v>
      </c>
      <c r="F280" s="20" t="s">
        <v>61</v>
      </c>
      <c r="G280" s="20" t="n">
        <v>1</v>
      </c>
      <c r="H280" s="20" t="n">
        <v>35</v>
      </c>
      <c r="I280" s="20" t="s">
        <v>50</v>
      </c>
    </row>
    <row r="281" customFormat="false" ht="15" hidden="false" customHeight="false" outlineLevel="0" collapsed="false">
      <c r="A281" s="20" t="s">
        <v>710</v>
      </c>
      <c r="B281" s="21" t="n">
        <v>45984</v>
      </c>
      <c r="C281" s="20" t="s">
        <v>80</v>
      </c>
      <c r="D281" s="20" t="s">
        <v>109</v>
      </c>
      <c r="E281" s="20" t="s">
        <v>48</v>
      </c>
      <c r="F281" s="20" t="s">
        <v>116</v>
      </c>
      <c r="G281" s="20" t="n">
        <v>1</v>
      </c>
      <c r="H281" s="20" t="n">
        <v>28</v>
      </c>
      <c r="I281" s="20" t="s">
        <v>50</v>
      </c>
    </row>
    <row r="282" customFormat="false" ht="15" hidden="false" customHeight="false" outlineLevel="0" collapsed="false">
      <c r="A282" s="20" t="s">
        <v>711</v>
      </c>
      <c r="B282" s="20" t="s">
        <v>252</v>
      </c>
      <c r="C282" s="20" t="s">
        <v>119</v>
      </c>
      <c r="D282" s="20" t="s">
        <v>109</v>
      </c>
      <c r="E282" s="20" t="s">
        <v>92</v>
      </c>
      <c r="F282" s="20" t="s">
        <v>196</v>
      </c>
      <c r="G282" s="20" t="n">
        <v>1</v>
      </c>
      <c r="H282" s="20" t="n">
        <v>89</v>
      </c>
      <c r="I282" s="20" t="s">
        <v>163</v>
      </c>
    </row>
    <row r="283" customFormat="false" ht="15" hidden="false" customHeight="false" outlineLevel="0" collapsed="false">
      <c r="A283" s="20" t="s">
        <v>712</v>
      </c>
      <c r="B283" s="21" t="n">
        <v>45919</v>
      </c>
      <c r="C283" s="20" t="s">
        <v>348</v>
      </c>
      <c r="D283" s="20" t="s">
        <v>70</v>
      </c>
      <c r="E283" s="20" t="s">
        <v>92</v>
      </c>
      <c r="F283" s="20" t="s">
        <v>196</v>
      </c>
      <c r="G283" s="20" t="n">
        <v>1</v>
      </c>
      <c r="H283" s="20" t="s">
        <v>220</v>
      </c>
      <c r="I283" s="20" t="s">
        <v>50</v>
      </c>
    </row>
    <row r="284" customFormat="false" ht="15" hidden="false" customHeight="false" outlineLevel="0" collapsed="false">
      <c r="A284" s="20" t="s">
        <v>713</v>
      </c>
      <c r="B284" s="20" t="s">
        <v>714</v>
      </c>
      <c r="C284" s="20" t="s">
        <v>143</v>
      </c>
      <c r="D284" s="20" t="s">
        <v>47</v>
      </c>
      <c r="E284" s="20" t="s">
        <v>92</v>
      </c>
      <c r="F284" s="20" t="s">
        <v>196</v>
      </c>
      <c r="G284" s="20" t="n">
        <v>2</v>
      </c>
      <c r="H284" s="20" t="s">
        <v>220</v>
      </c>
      <c r="I284" s="20" t="s">
        <v>50</v>
      </c>
    </row>
    <row r="285" customFormat="false" ht="15" hidden="false" customHeight="false" outlineLevel="0" collapsed="false">
      <c r="A285" s="20" t="s">
        <v>715</v>
      </c>
      <c r="B285" s="21" t="n">
        <v>45793</v>
      </c>
      <c r="C285" s="20" t="s">
        <v>531</v>
      </c>
      <c r="D285" s="20" t="s">
        <v>109</v>
      </c>
      <c r="E285" s="20" t="s">
        <v>110</v>
      </c>
      <c r="F285" s="20" t="s">
        <v>236</v>
      </c>
      <c r="G285" s="20" t="n">
        <v>1</v>
      </c>
      <c r="H285" s="20" t="n">
        <v>30</v>
      </c>
      <c r="I285" s="20" t="s">
        <v>50</v>
      </c>
    </row>
    <row r="286" customFormat="false" ht="15" hidden="false" customHeight="false" outlineLevel="0" collapsed="false">
      <c r="A286" s="20" t="s">
        <v>716</v>
      </c>
      <c r="B286" s="20" t="s">
        <v>521</v>
      </c>
      <c r="C286" s="20" t="s">
        <v>535</v>
      </c>
      <c r="D286" s="20" t="s">
        <v>282</v>
      </c>
      <c r="E286" s="20" t="s">
        <v>92</v>
      </c>
      <c r="F286" s="20" t="s">
        <v>196</v>
      </c>
      <c r="G286" s="20" t="n">
        <v>1</v>
      </c>
      <c r="H286" s="20" t="s">
        <v>220</v>
      </c>
      <c r="I286" s="20" t="s">
        <v>112</v>
      </c>
    </row>
    <row r="287" customFormat="false" ht="15" hidden="false" customHeight="false" outlineLevel="0" collapsed="false">
      <c r="A287" s="20" t="s">
        <v>717</v>
      </c>
      <c r="B287" s="21" t="n">
        <v>45942</v>
      </c>
      <c r="C287" s="20" t="s">
        <v>227</v>
      </c>
      <c r="D287" s="20" t="s">
        <v>47</v>
      </c>
      <c r="E287" s="20" t="s">
        <v>48</v>
      </c>
      <c r="F287" s="20" t="s">
        <v>116</v>
      </c>
      <c r="G287" s="20" t="n">
        <v>3</v>
      </c>
      <c r="H287" s="20" t="n">
        <v>28</v>
      </c>
      <c r="I287" s="20" t="s">
        <v>50</v>
      </c>
    </row>
    <row r="288" customFormat="false" ht="15" hidden="false" customHeight="false" outlineLevel="0" collapsed="false">
      <c r="A288" s="20" t="s">
        <v>718</v>
      </c>
      <c r="B288" s="20" t="s">
        <v>468</v>
      </c>
      <c r="C288" s="20" t="s">
        <v>719</v>
      </c>
      <c r="D288" s="20" t="s">
        <v>157</v>
      </c>
      <c r="E288" s="20" t="s">
        <v>92</v>
      </c>
      <c r="F288" s="20" t="s">
        <v>93</v>
      </c>
      <c r="G288" s="20" t="n">
        <v>1</v>
      </c>
      <c r="H288" s="20" t="s">
        <v>94</v>
      </c>
      <c r="I288" s="20" t="s">
        <v>50</v>
      </c>
    </row>
    <row r="289" customFormat="false" ht="15" hidden="false" customHeight="false" outlineLevel="0" collapsed="false">
      <c r="A289" s="20" t="s">
        <v>720</v>
      </c>
      <c r="B289" s="21" t="n">
        <v>45672</v>
      </c>
      <c r="C289" s="20" t="s">
        <v>97</v>
      </c>
      <c r="D289" s="20" t="s">
        <v>109</v>
      </c>
      <c r="E289" s="20" t="s">
        <v>140</v>
      </c>
      <c r="F289" s="20" t="s">
        <v>196</v>
      </c>
      <c r="G289" s="20" t="n">
        <v>4</v>
      </c>
      <c r="H289" s="20" t="n">
        <v>89</v>
      </c>
      <c r="I289" s="20" t="s">
        <v>50</v>
      </c>
    </row>
    <row r="290" customFormat="false" ht="15" hidden="false" customHeight="false" outlineLevel="0" collapsed="false">
      <c r="A290" s="20" t="s">
        <v>721</v>
      </c>
      <c r="B290" s="20" t="s">
        <v>722</v>
      </c>
      <c r="C290" s="20" t="s">
        <v>397</v>
      </c>
      <c r="D290" s="20" t="s">
        <v>70</v>
      </c>
      <c r="E290" s="20" t="s">
        <v>81</v>
      </c>
      <c r="F290" s="20" t="s">
        <v>67</v>
      </c>
      <c r="G290" s="20" t="n">
        <v>2</v>
      </c>
      <c r="H290" s="20" t="n">
        <v>45</v>
      </c>
      <c r="I290" s="20" t="s">
        <v>50</v>
      </c>
    </row>
    <row r="291" customFormat="false" ht="15" hidden="false" customHeight="false" outlineLevel="0" collapsed="false">
      <c r="A291" s="20" t="s">
        <v>723</v>
      </c>
      <c r="B291" s="21" t="n">
        <v>45910</v>
      </c>
      <c r="C291" s="20" t="s">
        <v>526</v>
      </c>
      <c r="D291" s="20" t="s">
        <v>157</v>
      </c>
      <c r="E291" s="20" t="s">
        <v>101</v>
      </c>
      <c r="F291" s="20" t="s">
        <v>144</v>
      </c>
      <c r="G291" s="20" t="n">
        <v>1</v>
      </c>
      <c r="H291" s="20" t="n">
        <v>54</v>
      </c>
      <c r="I291" s="20" t="s">
        <v>50</v>
      </c>
    </row>
    <row r="292" customFormat="false" ht="15" hidden="false" customHeight="false" outlineLevel="0" collapsed="false">
      <c r="A292" s="20" t="s">
        <v>724</v>
      </c>
      <c r="B292" s="20" t="s">
        <v>725</v>
      </c>
      <c r="C292" s="20" t="s">
        <v>494</v>
      </c>
      <c r="D292" s="20" t="s">
        <v>65</v>
      </c>
      <c r="E292" s="20" t="s">
        <v>54</v>
      </c>
      <c r="F292" s="20" t="s">
        <v>76</v>
      </c>
      <c r="G292" s="20" t="n">
        <v>1</v>
      </c>
      <c r="H292" s="20" t="s">
        <v>77</v>
      </c>
      <c r="I292" s="20" t="s">
        <v>136</v>
      </c>
    </row>
    <row r="293" customFormat="false" ht="15" hidden="false" customHeight="false" outlineLevel="0" collapsed="false">
      <c r="A293" s="20" t="s">
        <v>726</v>
      </c>
      <c r="B293" s="21" t="n">
        <v>45790</v>
      </c>
      <c r="C293" s="20" t="s">
        <v>108</v>
      </c>
      <c r="D293" s="20" t="s">
        <v>65</v>
      </c>
      <c r="E293" s="20" t="s">
        <v>110</v>
      </c>
      <c r="F293" s="20" t="s">
        <v>111</v>
      </c>
      <c r="G293" s="20" t="n">
        <v>2</v>
      </c>
      <c r="H293" s="20" t="n">
        <v>16</v>
      </c>
      <c r="I293" s="20" t="s">
        <v>50</v>
      </c>
    </row>
    <row r="294" customFormat="false" ht="15" hidden="false" customHeight="false" outlineLevel="0" collapsed="false">
      <c r="A294" s="20" t="s">
        <v>727</v>
      </c>
      <c r="B294" s="21" t="n">
        <v>46003</v>
      </c>
      <c r="C294" s="20" t="s">
        <v>97</v>
      </c>
      <c r="D294" s="20" t="s">
        <v>157</v>
      </c>
      <c r="E294" s="20" t="s">
        <v>728</v>
      </c>
      <c r="F294" s="20" t="s">
        <v>196</v>
      </c>
      <c r="G294" s="20" t="n">
        <v>1</v>
      </c>
      <c r="H294" s="20" t="s">
        <v>220</v>
      </c>
      <c r="I294" s="20" t="s">
        <v>112</v>
      </c>
    </row>
    <row r="295" customFormat="false" ht="15" hidden="false" customHeight="false" outlineLevel="0" collapsed="false">
      <c r="A295" s="20" t="s">
        <v>729</v>
      </c>
      <c r="B295" s="21" t="n">
        <v>45831</v>
      </c>
      <c r="C295" s="20" t="s">
        <v>104</v>
      </c>
      <c r="D295" s="20" t="s">
        <v>47</v>
      </c>
      <c r="E295" s="20" t="s">
        <v>48</v>
      </c>
      <c r="F295" s="20" t="s">
        <v>49</v>
      </c>
      <c r="G295" s="20" t="n">
        <v>1</v>
      </c>
      <c r="H295" s="20" t="n">
        <v>18</v>
      </c>
      <c r="I295" s="20" t="s">
        <v>50</v>
      </c>
    </row>
    <row r="296" customFormat="false" ht="15" hidden="false" customHeight="false" outlineLevel="0" collapsed="false">
      <c r="A296" s="20" t="s">
        <v>730</v>
      </c>
      <c r="B296" s="20" t="s">
        <v>731</v>
      </c>
      <c r="C296" s="20" t="s">
        <v>367</v>
      </c>
      <c r="D296" s="20" t="s">
        <v>47</v>
      </c>
      <c r="E296" s="20" t="s">
        <v>48</v>
      </c>
      <c r="F296" s="20" t="s">
        <v>116</v>
      </c>
      <c r="G296" s="20" t="n">
        <v>2</v>
      </c>
      <c r="H296" s="20" t="n">
        <v>28</v>
      </c>
      <c r="I296" s="20" t="s">
        <v>50</v>
      </c>
    </row>
    <row r="297" customFormat="false" ht="15" hidden="false" customHeight="false" outlineLevel="0" collapsed="false">
      <c r="A297" s="20" t="s">
        <v>732</v>
      </c>
      <c r="B297" s="21" t="n">
        <v>45789</v>
      </c>
      <c r="C297" s="20" t="s">
        <v>338</v>
      </c>
      <c r="D297" s="20" t="s">
        <v>47</v>
      </c>
      <c r="E297" s="20" t="s">
        <v>92</v>
      </c>
      <c r="F297" s="20" t="s">
        <v>196</v>
      </c>
      <c r="G297" s="20" t="n">
        <v>1</v>
      </c>
      <c r="H297" s="20" t="s">
        <v>220</v>
      </c>
      <c r="I297" s="20" t="s">
        <v>163</v>
      </c>
    </row>
    <row r="298" customFormat="false" ht="15" hidden="false" customHeight="false" outlineLevel="0" collapsed="false">
      <c r="A298" s="20" t="s">
        <v>733</v>
      </c>
      <c r="B298" s="20" t="s">
        <v>734</v>
      </c>
      <c r="C298" s="20" t="s">
        <v>100</v>
      </c>
      <c r="D298" s="20" t="s">
        <v>59</v>
      </c>
      <c r="E298" s="20" t="s">
        <v>48</v>
      </c>
      <c r="F298" s="20" t="s">
        <v>116</v>
      </c>
      <c r="G298" s="20" t="n">
        <v>1</v>
      </c>
      <c r="H298" s="20" t="n">
        <v>28</v>
      </c>
      <c r="I298" s="20" t="s">
        <v>50</v>
      </c>
    </row>
    <row r="299" customFormat="false" ht="15" hidden="false" customHeight="false" outlineLevel="0" collapsed="false">
      <c r="A299" s="20" t="s">
        <v>735</v>
      </c>
      <c r="B299" s="20" t="s">
        <v>736</v>
      </c>
      <c r="C299" s="20" t="s">
        <v>91</v>
      </c>
      <c r="D299" s="20" t="s">
        <v>65</v>
      </c>
      <c r="E299" s="20" t="s">
        <v>92</v>
      </c>
      <c r="F299" s="20" t="s">
        <v>105</v>
      </c>
      <c r="G299" s="20" t="n">
        <v>2</v>
      </c>
      <c r="H299" s="20" t="n">
        <v>49</v>
      </c>
      <c r="I299" s="20" t="s">
        <v>50</v>
      </c>
    </row>
    <row r="300" customFormat="false" ht="15" hidden="false" customHeight="false" outlineLevel="0" collapsed="false">
      <c r="A300" s="20" t="s">
        <v>737</v>
      </c>
      <c r="B300" s="20" t="s">
        <v>738</v>
      </c>
      <c r="C300" s="20" t="s">
        <v>150</v>
      </c>
      <c r="D300" s="20" t="s">
        <v>65</v>
      </c>
      <c r="E300" s="20" t="s">
        <v>81</v>
      </c>
      <c r="F300" s="20" t="s">
        <v>67</v>
      </c>
      <c r="G300" s="20" t="n">
        <v>1</v>
      </c>
      <c r="H300" s="20" t="n">
        <v>45</v>
      </c>
      <c r="I300" s="20" t="s">
        <v>163</v>
      </c>
    </row>
    <row r="301" customFormat="false" ht="15" hidden="false" customHeight="false" outlineLevel="0" collapsed="false">
      <c r="A301" s="20" t="s">
        <v>739</v>
      </c>
      <c r="B301" s="20" t="s">
        <v>740</v>
      </c>
      <c r="C301" s="20" t="s">
        <v>431</v>
      </c>
      <c r="D301" s="20" t="s">
        <v>65</v>
      </c>
      <c r="E301" s="20" t="s">
        <v>48</v>
      </c>
      <c r="F301" s="20" t="s">
        <v>116</v>
      </c>
      <c r="G301" s="20" t="n">
        <v>2</v>
      </c>
      <c r="H301" s="20" t="n">
        <v>28</v>
      </c>
      <c r="I301" s="20" t="s">
        <v>50</v>
      </c>
    </row>
    <row r="302" customFormat="false" ht="15" hidden="false" customHeight="false" outlineLevel="0" collapsed="false">
      <c r="A302" s="20" t="s">
        <v>741</v>
      </c>
      <c r="B302" s="20" t="s">
        <v>742</v>
      </c>
      <c r="C302" s="20" t="s">
        <v>129</v>
      </c>
      <c r="D302" s="20" t="s">
        <v>65</v>
      </c>
      <c r="E302" s="20" t="s">
        <v>110</v>
      </c>
      <c r="F302" s="20" t="s">
        <v>121</v>
      </c>
      <c r="G302" s="20" t="n">
        <v>1</v>
      </c>
      <c r="H302" s="20" t="n">
        <v>21</v>
      </c>
      <c r="I302" s="20" t="s">
        <v>163</v>
      </c>
    </row>
    <row r="303" customFormat="false" ht="15" hidden="false" customHeight="false" outlineLevel="0" collapsed="false">
      <c r="A303" s="20" t="s">
        <v>743</v>
      </c>
      <c r="B303" s="20" t="s">
        <v>744</v>
      </c>
      <c r="C303" s="20" t="s">
        <v>464</v>
      </c>
      <c r="D303" s="20" t="s">
        <v>70</v>
      </c>
      <c r="E303" s="20" t="s">
        <v>81</v>
      </c>
      <c r="F303" s="20" t="s">
        <v>67</v>
      </c>
      <c r="G303" s="20" t="n">
        <v>2</v>
      </c>
      <c r="H303" s="20" t="s">
        <v>135</v>
      </c>
      <c r="I303" s="20" t="s">
        <v>50</v>
      </c>
    </row>
    <row r="304" customFormat="false" ht="15" hidden="false" customHeight="false" outlineLevel="0" collapsed="false">
      <c r="A304" s="20" t="s">
        <v>745</v>
      </c>
      <c r="B304" s="20" t="s">
        <v>742</v>
      </c>
      <c r="C304" s="20" t="s">
        <v>189</v>
      </c>
      <c r="D304" s="20" t="s">
        <v>47</v>
      </c>
      <c r="E304" s="20" t="s">
        <v>81</v>
      </c>
      <c r="F304" s="20" t="s">
        <v>82</v>
      </c>
      <c r="G304" s="20" t="n">
        <v>1</v>
      </c>
      <c r="H304" s="20" t="n">
        <v>22</v>
      </c>
      <c r="I304" s="20" t="s">
        <v>136</v>
      </c>
    </row>
    <row r="305" customFormat="false" ht="15" hidden="false" customHeight="false" outlineLevel="0" collapsed="false">
      <c r="A305" s="20" t="s">
        <v>746</v>
      </c>
      <c r="B305" s="21" t="n">
        <v>45925</v>
      </c>
      <c r="C305" s="20" t="s">
        <v>100</v>
      </c>
      <c r="D305" s="20" t="s">
        <v>47</v>
      </c>
      <c r="E305" s="20" t="s">
        <v>81</v>
      </c>
      <c r="F305" s="20" t="s">
        <v>67</v>
      </c>
      <c r="G305" s="20" t="n">
        <v>1</v>
      </c>
      <c r="H305" s="20" t="n">
        <v>45</v>
      </c>
      <c r="I305" s="20" t="s">
        <v>50</v>
      </c>
    </row>
    <row r="306" customFormat="false" ht="15" hidden="false" customHeight="false" outlineLevel="0" collapsed="false">
      <c r="A306" s="20" t="s">
        <v>747</v>
      </c>
      <c r="B306" s="21" t="n">
        <v>45678</v>
      </c>
      <c r="C306" s="20" t="s">
        <v>522</v>
      </c>
      <c r="D306" s="20" t="s">
        <v>47</v>
      </c>
      <c r="E306" s="20" t="s">
        <v>54</v>
      </c>
      <c r="F306" s="20" t="s">
        <v>76</v>
      </c>
      <c r="G306" s="20" t="n">
        <v>4</v>
      </c>
      <c r="H306" s="20" t="s">
        <v>77</v>
      </c>
      <c r="I306" s="20" t="s">
        <v>50</v>
      </c>
    </row>
    <row r="307" customFormat="false" ht="15" hidden="false" customHeight="false" outlineLevel="0" collapsed="false">
      <c r="A307" s="20" t="s">
        <v>748</v>
      </c>
      <c r="B307" s="20" t="s">
        <v>749</v>
      </c>
      <c r="C307" s="20" t="s">
        <v>592</v>
      </c>
      <c r="D307" s="20" t="s">
        <v>70</v>
      </c>
      <c r="E307" s="20" t="s">
        <v>81</v>
      </c>
      <c r="F307" s="20" t="s">
        <v>61</v>
      </c>
      <c r="G307" s="20" t="n">
        <v>4</v>
      </c>
      <c r="H307" s="20" t="n">
        <v>35</v>
      </c>
      <c r="I307" s="20" t="s">
        <v>50</v>
      </c>
    </row>
    <row r="308" customFormat="false" ht="15" hidden="false" customHeight="false" outlineLevel="0" collapsed="false">
      <c r="A308" s="20" t="s">
        <v>750</v>
      </c>
      <c r="B308" s="20" t="s">
        <v>751</v>
      </c>
      <c r="C308" s="20" t="s">
        <v>424</v>
      </c>
      <c r="D308" s="20" t="s">
        <v>752</v>
      </c>
      <c r="E308" s="20" t="s">
        <v>54</v>
      </c>
      <c r="F308" s="20" t="s">
        <v>55</v>
      </c>
      <c r="G308" s="20" t="n">
        <v>1</v>
      </c>
      <c r="H308" s="20" t="n">
        <v>38</v>
      </c>
      <c r="I308" s="20" t="s">
        <v>50</v>
      </c>
    </row>
    <row r="309" customFormat="false" ht="15" hidden="false" customHeight="false" outlineLevel="0" collapsed="false">
      <c r="A309" s="20" t="s">
        <v>753</v>
      </c>
      <c r="B309" s="21" t="n">
        <v>45962</v>
      </c>
      <c r="C309" s="20" t="s">
        <v>344</v>
      </c>
      <c r="D309" s="20" t="s">
        <v>47</v>
      </c>
      <c r="E309" s="20" t="s">
        <v>92</v>
      </c>
      <c r="F309" s="20" t="s">
        <v>93</v>
      </c>
      <c r="G309" s="20" t="n">
        <v>2</v>
      </c>
      <c r="H309" s="20" t="n">
        <v>15</v>
      </c>
      <c r="I309" s="20" t="s">
        <v>50</v>
      </c>
    </row>
    <row r="310" customFormat="false" ht="15" hidden="false" customHeight="false" outlineLevel="0" collapsed="false">
      <c r="A310" s="20" t="s">
        <v>754</v>
      </c>
      <c r="B310" s="21" t="n">
        <v>45842</v>
      </c>
      <c r="C310" s="20"/>
      <c r="D310" s="20" t="s">
        <v>109</v>
      </c>
      <c r="E310" s="20" t="s">
        <v>54</v>
      </c>
      <c r="F310" s="20" t="s">
        <v>55</v>
      </c>
      <c r="G310" s="20" t="n">
        <v>2</v>
      </c>
      <c r="H310" s="20" t="n">
        <v>38</v>
      </c>
      <c r="I310" s="20" t="s">
        <v>50</v>
      </c>
    </row>
    <row r="311" customFormat="false" ht="15" hidden="false" customHeight="false" outlineLevel="0" collapsed="false">
      <c r="A311" s="20" t="s">
        <v>755</v>
      </c>
      <c r="B311" s="20" t="s">
        <v>756</v>
      </c>
      <c r="C311" s="20" t="s">
        <v>387</v>
      </c>
      <c r="D311" s="20" t="s">
        <v>47</v>
      </c>
      <c r="E311" s="20" t="s">
        <v>110</v>
      </c>
      <c r="F311" s="20" t="s">
        <v>121</v>
      </c>
      <c r="G311" s="20" t="n">
        <v>2</v>
      </c>
      <c r="H311" s="20" t="s">
        <v>122</v>
      </c>
      <c r="I311" s="20" t="s">
        <v>50</v>
      </c>
    </row>
    <row r="312" customFormat="false" ht="15" hidden="false" customHeight="false" outlineLevel="0" collapsed="false">
      <c r="A312" s="20" t="s">
        <v>757</v>
      </c>
      <c r="B312" s="20" t="s">
        <v>758</v>
      </c>
      <c r="C312" s="20" t="s">
        <v>519</v>
      </c>
      <c r="D312" s="20" t="s">
        <v>47</v>
      </c>
      <c r="E312" s="20" t="s">
        <v>140</v>
      </c>
      <c r="F312" s="20" t="s">
        <v>105</v>
      </c>
      <c r="G312" s="20" t="n">
        <v>1</v>
      </c>
      <c r="H312" s="20" t="n">
        <v>49</v>
      </c>
      <c r="I312" s="20" t="s">
        <v>50</v>
      </c>
    </row>
    <row r="313" customFormat="false" ht="15" hidden="false" customHeight="false" outlineLevel="0" collapsed="false">
      <c r="A313" s="20" t="s">
        <v>759</v>
      </c>
      <c r="B313" s="20" t="s">
        <v>760</v>
      </c>
      <c r="C313" s="20"/>
      <c r="D313" s="20" t="s">
        <v>171</v>
      </c>
      <c r="E313" s="20" t="s">
        <v>54</v>
      </c>
      <c r="F313" s="20" t="s">
        <v>72</v>
      </c>
      <c r="G313" s="20" t="n">
        <v>1</v>
      </c>
      <c r="H313" s="20" t="n">
        <v>24</v>
      </c>
      <c r="I313" s="20" t="s">
        <v>50</v>
      </c>
    </row>
    <row r="314" customFormat="false" ht="15" hidden="false" customHeight="false" outlineLevel="0" collapsed="false">
      <c r="A314" s="20" t="s">
        <v>761</v>
      </c>
      <c r="B314" s="20" t="s">
        <v>762</v>
      </c>
      <c r="C314" s="20" t="s">
        <v>119</v>
      </c>
      <c r="D314" s="20" t="s">
        <v>47</v>
      </c>
      <c r="E314" s="20" t="s">
        <v>110</v>
      </c>
      <c r="F314" s="20" t="s">
        <v>121</v>
      </c>
      <c r="G314" s="20" t="n">
        <v>1</v>
      </c>
      <c r="H314" s="20" t="n">
        <v>21</v>
      </c>
      <c r="I314" s="20" t="s">
        <v>50</v>
      </c>
    </row>
    <row r="315" customFormat="false" ht="15" hidden="false" customHeight="false" outlineLevel="0" collapsed="false">
      <c r="A315" s="20" t="s">
        <v>763</v>
      </c>
      <c r="B315" s="20" t="s">
        <v>764</v>
      </c>
      <c r="C315" s="20" t="s">
        <v>483</v>
      </c>
      <c r="D315" s="20" t="s">
        <v>47</v>
      </c>
      <c r="E315" s="20" t="s">
        <v>110</v>
      </c>
      <c r="F315" s="20" t="s">
        <v>111</v>
      </c>
      <c r="G315" s="20" t="n">
        <v>2</v>
      </c>
      <c r="H315" s="20" t="n">
        <v>16</v>
      </c>
      <c r="I315" s="20" t="s">
        <v>50</v>
      </c>
    </row>
    <row r="316" customFormat="false" ht="15" hidden="false" customHeight="false" outlineLevel="0" collapsed="false">
      <c r="A316" s="20" t="s">
        <v>765</v>
      </c>
      <c r="B316" s="20" t="s">
        <v>766</v>
      </c>
      <c r="C316" s="20" t="s">
        <v>52</v>
      </c>
      <c r="D316" s="20" t="s">
        <v>59</v>
      </c>
      <c r="E316" s="20" t="s">
        <v>92</v>
      </c>
      <c r="F316" s="20" t="s">
        <v>196</v>
      </c>
      <c r="G316" s="20" t="n">
        <v>1</v>
      </c>
      <c r="H316" s="20" t="n">
        <v>89</v>
      </c>
      <c r="I316" s="20" t="s">
        <v>50</v>
      </c>
    </row>
    <row r="317" customFormat="false" ht="15" hidden="false" customHeight="false" outlineLevel="0" collapsed="false">
      <c r="A317" s="20" t="s">
        <v>767</v>
      </c>
      <c r="B317" s="20" t="s">
        <v>768</v>
      </c>
      <c r="C317" s="20" t="s">
        <v>300</v>
      </c>
      <c r="D317" s="20" t="s">
        <v>47</v>
      </c>
      <c r="E317" s="20" t="s">
        <v>92</v>
      </c>
      <c r="F317" s="20" t="s">
        <v>93</v>
      </c>
      <c r="G317" s="20" t="n">
        <v>1</v>
      </c>
      <c r="H317" s="20" t="s">
        <v>94</v>
      </c>
      <c r="I317" s="20" t="s">
        <v>50</v>
      </c>
    </row>
    <row r="318" customFormat="false" ht="15" hidden="false" customHeight="false" outlineLevel="0" collapsed="false">
      <c r="A318" s="20" t="s">
        <v>769</v>
      </c>
      <c r="B318" s="20" t="s">
        <v>770</v>
      </c>
      <c r="C318" s="20" t="s">
        <v>291</v>
      </c>
      <c r="D318" s="20" t="s">
        <v>87</v>
      </c>
      <c r="E318" s="20" t="s">
        <v>81</v>
      </c>
      <c r="F318" s="20" t="s">
        <v>82</v>
      </c>
      <c r="G318" s="20" t="n">
        <v>1</v>
      </c>
      <c r="H318" s="20" t="s">
        <v>154</v>
      </c>
      <c r="I318" s="20" t="s">
        <v>112</v>
      </c>
    </row>
    <row r="319" customFormat="false" ht="15" hidden="false" customHeight="false" outlineLevel="0" collapsed="false">
      <c r="A319" s="20" t="s">
        <v>693</v>
      </c>
      <c r="B319" s="21" t="n">
        <v>45880</v>
      </c>
      <c r="C319" s="20" t="s">
        <v>239</v>
      </c>
      <c r="D319" s="20" t="s">
        <v>65</v>
      </c>
      <c r="E319" s="20" t="s">
        <v>92</v>
      </c>
      <c r="F319" s="20" t="s">
        <v>196</v>
      </c>
      <c r="G319" s="20" t="n">
        <v>3</v>
      </c>
      <c r="H319" s="20" t="n">
        <v>89</v>
      </c>
      <c r="I319" s="20" t="s">
        <v>50</v>
      </c>
    </row>
    <row r="320" customFormat="false" ht="15" hidden="false" customHeight="false" outlineLevel="0" collapsed="false">
      <c r="A320" s="20" t="s">
        <v>771</v>
      </c>
      <c r="B320" s="20" t="s">
        <v>541</v>
      </c>
      <c r="C320" s="20" t="s">
        <v>306</v>
      </c>
      <c r="D320" s="20" t="s">
        <v>65</v>
      </c>
      <c r="E320" s="20" t="s">
        <v>297</v>
      </c>
      <c r="F320" s="20" t="s">
        <v>111</v>
      </c>
      <c r="G320" s="20" t="n">
        <v>1</v>
      </c>
      <c r="H320" s="20" t="n">
        <v>16</v>
      </c>
      <c r="I320" s="20" t="s">
        <v>50</v>
      </c>
    </row>
    <row r="321" customFormat="false" ht="15" hidden="false" customHeight="false" outlineLevel="0" collapsed="false">
      <c r="A321" s="20" t="s">
        <v>772</v>
      </c>
      <c r="B321" s="20" t="s">
        <v>697</v>
      </c>
      <c r="C321" s="20" t="s">
        <v>248</v>
      </c>
      <c r="D321" s="20" t="s">
        <v>59</v>
      </c>
      <c r="E321" s="20" t="s">
        <v>92</v>
      </c>
      <c r="F321" s="20" t="s">
        <v>196</v>
      </c>
      <c r="G321" s="20" t="n">
        <v>1</v>
      </c>
      <c r="H321" s="20" t="s">
        <v>220</v>
      </c>
      <c r="I321" s="20" t="s">
        <v>50</v>
      </c>
    </row>
    <row r="322" customFormat="false" ht="15" hidden="false" customHeight="false" outlineLevel="0" collapsed="false">
      <c r="A322" s="20" t="s">
        <v>773</v>
      </c>
      <c r="B322" s="21" t="n">
        <v>45801</v>
      </c>
      <c r="C322" s="20" t="s">
        <v>210</v>
      </c>
      <c r="D322" s="20" t="s">
        <v>47</v>
      </c>
      <c r="E322" s="20" t="s">
        <v>110</v>
      </c>
      <c r="F322" s="20" t="s">
        <v>121</v>
      </c>
      <c r="G322" s="20" t="n">
        <v>1</v>
      </c>
      <c r="H322" s="20" t="n">
        <v>21</v>
      </c>
      <c r="I322" s="20" t="s">
        <v>50</v>
      </c>
    </row>
    <row r="323" customFormat="false" ht="15" hidden="false" customHeight="false" outlineLevel="0" collapsed="false">
      <c r="A323" s="20" t="s">
        <v>774</v>
      </c>
      <c r="B323" s="21" t="n">
        <v>45946</v>
      </c>
      <c r="C323" s="20" t="s">
        <v>104</v>
      </c>
      <c r="D323" s="20" t="s">
        <v>47</v>
      </c>
      <c r="E323" s="20" t="s">
        <v>48</v>
      </c>
      <c r="F323" s="20" t="s">
        <v>116</v>
      </c>
      <c r="G323" s="20" t="n">
        <v>2</v>
      </c>
      <c r="H323" s="20" t="n">
        <v>28</v>
      </c>
      <c r="I323" s="20" t="s">
        <v>50</v>
      </c>
    </row>
    <row r="324" customFormat="false" ht="15" hidden="false" customHeight="false" outlineLevel="0" collapsed="false">
      <c r="A324" s="20" t="s">
        <v>775</v>
      </c>
      <c r="B324" s="20" t="s">
        <v>776</v>
      </c>
      <c r="C324" s="20" t="s">
        <v>104</v>
      </c>
      <c r="D324" s="20" t="s">
        <v>47</v>
      </c>
      <c r="E324" s="20" t="s">
        <v>110</v>
      </c>
      <c r="F324" s="20" t="s">
        <v>111</v>
      </c>
      <c r="G324" s="20" t="n">
        <v>1</v>
      </c>
      <c r="H324" s="20" t="n">
        <v>16</v>
      </c>
      <c r="I324" s="20" t="s">
        <v>50</v>
      </c>
    </row>
    <row r="325" customFormat="false" ht="15" hidden="false" customHeight="false" outlineLevel="0" collapsed="false">
      <c r="A325" s="20" t="s">
        <v>777</v>
      </c>
      <c r="B325" s="20" t="s">
        <v>778</v>
      </c>
      <c r="C325" s="20" t="s">
        <v>380</v>
      </c>
      <c r="D325" s="20" t="s">
        <v>59</v>
      </c>
      <c r="E325" s="20" t="s">
        <v>110</v>
      </c>
      <c r="F325" s="20" t="s">
        <v>121</v>
      </c>
      <c r="G325" s="20" t="n">
        <v>1</v>
      </c>
      <c r="H325" s="20" t="n">
        <v>21</v>
      </c>
      <c r="I325" s="20" t="s">
        <v>112</v>
      </c>
    </row>
    <row r="326" customFormat="false" ht="15" hidden="false" customHeight="false" outlineLevel="0" collapsed="false">
      <c r="A326" s="20" t="s">
        <v>779</v>
      </c>
      <c r="B326" s="20" t="s">
        <v>780</v>
      </c>
      <c r="C326" s="20" t="s">
        <v>502</v>
      </c>
      <c r="D326" s="20" t="s">
        <v>53</v>
      </c>
      <c r="E326" s="20" t="s">
        <v>48</v>
      </c>
      <c r="F326" s="20" t="s">
        <v>116</v>
      </c>
      <c r="G326" s="20" t="n">
        <v>1</v>
      </c>
      <c r="H326" s="20" t="n">
        <v>28</v>
      </c>
      <c r="I326" s="20" t="s">
        <v>50</v>
      </c>
    </row>
    <row r="327" customFormat="false" ht="15" hidden="false" customHeight="false" outlineLevel="0" collapsed="false">
      <c r="A327" s="20" t="s">
        <v>781</v>
      </c>
      <c r="B327" s="20" t="s">
        <v>782</v>
      </c>
      <c r="C327" s="20" t="s">
        <v>100</v>
      </c>
      <c r="D327" s="20" t="s">
        <v>47</v>
      </c>
      <c r="E327" s="20" t="s">
        <v>372</v>
      </c>
      <c r="F327" s="20" t="s">
        <v>111</v>
      </c>
      <c r="G327" s="20" t="n">
        <v>1</v>
      </c>
      <c r="H327" s="20" t="n">
        <v>16</v>
      </c>
      <c r="I327" s="20" t="s">
        <v>50</v>
      </c>
    </row>
    <row r="328" customFormat="false" ht="15" hidden="false" customHeight="false" outlineLevel="0" collapsed="false">
      <c r="A328" s="20" t="s">
        <v>783</v>
      </c>
      <c r="B328" s="21" t="n">
        <v>45924</v>
      </c>
      <c r="C328" s="20" t="s">
        <v>380</v>
      </c>
      <c r="D328" s="20" t="s">
        <v>70</v>
      </c>
      <c r="E328" s="20" t="s">
        <v>48</v>
      </c>
      <c r="F328" s="20" t="s">
        <v>116</v>
      </c>
      <c r="G328" s="20" t="n">
        <v>2</v>
      </c>
      <c r="H328" s="20" t="n">
        <v>28</v>
      </c>
      <c r="I328" s="20" t="s">
        <v>50</v>
      </c>
    </row>
    <row r="329" customFormat="false" ht="15" hidden="false" customHeight="false" outlineLevel="0" collapsed="false">
      <c r="A329" s="20" t="s">
        <v>784</v>
      </c>
      <c r="B329" s="20" t="s">
        <v>785</v>
      </c>
      <c r="C329" s="20" t="s">
        <v>192</v>
      </c>
      <c r="D329" s="20" t="s">
        <v>47</v>
      </c>
      <c r="E329" s="20" t="s">
        <v>81</v>
      </c>
      <c r="F329" s="20" t="s">
        <v>67</v>
      </c>
      <c r="G329" s="20" t="n">
        <v>1</v>
      </c>
      <c r="H329" s="20" t="n">
        <v>45</v>
      </c>
      <c r="I329" s="20" t="s">
        <v>50</v>
      </c>
    </row>
    <row r="330" customFormat="false" ht="15" hidden="false" customHeight="false" outlineLevel="0" collapsed="false">
      <c r="A330" s="20" t="s">
        <v>786</v>
      </c>
      <c r="B330" s="20" t="s">
        <v>787</v>
      </c>
      <c r="C330" s="20" t="s">
        <v>502</v>
      </c>
      <c r="D330" s="20" t="s">
        <v>109</v>
      </c>
      <c r="E330" s="20" t="s">
        <v>81</v>
      </c>
      <c r="F330" s="20" t="s">
        <v>82</v>
      </c>
      <c r="G330" s="20" t="n">
        <v>1</v>
      </c>
      <c r="H330" s="20" t="n">
        <v>22</v>
      </c>
      <c r="I330" s="20" t="s">
        <v>50</v>
      </c>
    </row>
    <row r="331" customFormat="false" ht="15" hidden="false" customHeight="false" outlineLevel="0" collapsed="false">
      <c r="A331" s="20" t="s">
        <v>788</v>
      </c>
      <c r="B331" s="20" t="s">
        <v>789</v>
      </c>
      <c r="C331" s="20" t="s">
        <v>139</v>
      </c>
      <c r="D331" s="20" t="s">
        <v>65</v>
      </c>
      <c r="E331" s="20" t="s">
        <v>92</v>
      </c>
      <c r="F331" s="20" t="s">
        <v>196</v>
      </c>
      <c r="G331" s="20" t="n">
        <v>2</v>
      </c>
      <c r="H331" s="20" t="n">
        <v>89</v>
      </c>
      <c r="I331" s="20" t="s">
        <v>199</v>
      </c>
    </row>
    <row r="332" customFormat="false" ht="15" hidden="false" customHeight="false" outlineLevel="0" collapsed="false">
      <c r="A332" s="20" t="s">
        <v>790</v>
      </c>
      <c r="B332" s="21" t="n">
        <v>45853</v>
      </c>
      <c r="C332" s="20" t="s">
        <v>502</v>
      </c>
      <c r="D332" s="20" t="s">
        <v>47</v>
      </c>
      <c r="E332" s="20" t="s">
        <v>54</v>
      </c>
      <c r="F332" s="20" t="s">
        <v>72</v>
      </c>
      <c r="G332" s="20" t="n">
        <v>1</v>
      </c>
      <c r="H332" s="20" t="n">
        <v>24</v>
      </c>
      <c r="I332" s="20" t="s">
        <v>50</v>
      </c>
    </row>
    <row r="333" customFormat="false" ht="15" hidden="false" customHeight="false" outlineLevel="0" collapsed="false">
      <c r="A333" s="20" t="s">
        <v>791</v>
      </c>
      <c r="B333" s="20" t="s">
        <v>792</v>
      </c>
      <c r="C333" s="20" t="s">
        <v>306</v>
      </c>
      <c r="D333" s="20" t="s">
        <v>157</v>
      </c>
      <c r="E333" s="20" t="s">
        <v>48</v>
      </c>
      <c r="F333" s="20" t="s">
        <v>144</v>
      </c>
      <c r="G333" s="20" t="n">
        <v>1</v>
      </c>
      <c r="H333" s="20" t="n">
        <v>54</v>
      </c>
      <c r="I333" s="20" t="s">
        <v>50</v>
      </c>
    </row>
    <row r="334" customFormat="false" ht="15" hidden="false" customHeight="false" outlineLevel="0" collapsed="false">
      <c r="A334" s="20" t="s">
        <v>793</v>
      </c>
      <c r="B334" s="20" t="s">
        <v>794</v>
      </c>
      <c r="C334" s="20" t="s">
        <v>380</v>
      </c>
      <c r="D334" s="20" t="s">
        <v>157</v>
      </c>
      <c r="E334" s="20" t="s">
        <v>92</v>
      </c>
      <c r="F334" s="20" t="s">
        <v>105</v>
      </c>
      <c r="G334" s="20" t="n">
        <v>1</v>
      </c>
      <c r="H334" s="20" t="n">
        <v>49</v>
      </c>
      <c r="I334" s="20" t="s">
        <v>50</v>
      </c>
    </row>
    <row r="335" customFormat="false" ht="15" hidden="false" customHeight="false" outlineLevel="0" collapsed="false">
      <c r="A335" s="20" t="s">
        <v>795</v>
      </c>
      <c r="B335" s="20" t="s">
        <v>796</v>
      </c>
      <c r="C335" s="20" t="s">
        <v>397</v>
      </c>
      <c r="D335" s="20" t="s">
        <v>70</v>
      </c>
      <c r="E335" s="20" t="s">
        <v>48</v>
      </c>
      <c r="F335" s="20" t="s">
        <v>49</v>
      </c>
      <c r="G335" s="20" t="n">
        <v>1</v>
      </c>
      <c r="H335" s="20" t="s">
        <v>180</v>
      </c>
      <c r="I335" s="20" t="s">
        <v>50</v>
      </c>
    </row>
    <row r="336" customFormat="false" ht="15" hidden="false" customHeight="false" outlineLevel="0" collapsed="false">
      <c r="A336" s="20" t="s">
        <v>797</v>
      </c>
      <c r="B336" s="20" t="s">
        <v>798</v>
      </c>
      <c r="C336" s="20" t="s">
        <v>519</v>
      </c>
      <c r="D336" s="20" t="s">
        <v>109</v>
      </c>
      <c r="E336" s="20" t="s">
        <v>81</v>
      </c>
      <c r="F336" s="20" t="s">
        <v>61</v>
      </c>
      <c r="G336" s="20" t="n">
        <v>3</v>
      </c>
      <c r="H336" s="20" t="n">
        <v>35</v>
      </c>
      <c r="I336" s="20" t="s">
        <v>50</v>
      </c>
    </row>
    <row r="337" customFormat="false" ht="15" hidden="false" customHeight="false" outlineLevel="0" collapsed="false">
      <c r="A337" s="20" t="s">
        <v>799</v>
      </c>
      <c r="B337" s="20" t="s">
        <v>800</v>
      </c>
      <c r="C337" s="20" t="s">
        <v>801</v>
      </c>
      <c r="D337" s="20" t="s">
        <v>65</v>
      </c>
      <c r="E337" s="20" t="s">
        <v>48</v>
      </c>
      <c r="F337" s="20" t="s">
        <v>116</v>
      </c>
      <c r="G337" s="20" t="n">
        <v>1</v>
      </c>
      <c r="H337" s="20" t="s">
        <v>162</v>
      </c>
      <c r="I337" s="20" t="s">
        <v>136</v>
      </c>
    </row>
    <row r="338" customFormat="false" ht="15" hidden="false" customHeight="false" outlineLevel="0" collapsed="false">
      <c r="A338" s="20" t="s">
        <v>802</v>
      </c>
      <c r="B338" s="20" t="s">
        <v>803</v>
      </c>
      <c r="C338" s="20" t="s">
        <v>75</v>
      </c>
      <c r="D338" s="20" t="s">
        <v>59</v>
      </c>
      <c r="E338" s="20" t="s">
        <v>54</v>
      </c>
      <c r="F338" s="20" t="s">
        <v>72</v>
      </c>
      <c r="G338" s="20" t="n">
        <v>2</v>
      </c>
      <c r="H338" s="20" t="s">
        <v>293</v>
      </c>
      <c r="I338" s="20" t="s">
        <v>50</v>
      </c>
    </row>
    <row r="339" customFormat="false" ht="15" hidden="false" customHeight="false" outlineLevel="0" collapsed="false">
      <c r="A339" s="20" t="s">
        <v>804</v>
      </c>
      <c r="B339" s="20" t="s">
        <v>805</v>
      </c>
      <c r="C339" s="20" t="s">
        <v>338</v>
      </c>
      <c r="D339" s="20" t="s">
        <v>65</v>
      </c>
      <c r="E339" s="20" t="s">
        <v>81</v>
      </c>
      <c r="F339" s="20" t="s">
        <v>82</v>
      </c>
      <c r="G339" s="20" t="n">
        <v>2</v>
      </c>
      <c r="H339" s="20" t="n">
        <v>22</v>
      </c>
      <c r="I339" s="20" t="s">
        <v>50</v>
      </c>
    </row>
    <row r="340" customFormat="false" ht="15" hidden="false" customHeight="false" outlineLevel="0" collapsed="false">
      <c r="A340" s="20" t="s">
        <v>806</v>
      </c>
      <c r="B340" s="20" t="s">
        <v>807</v>
      </c>
      <c r="C340" s="20" t="s">
        <v>719</v>
      </c>
      <c r="D340" s="20" t="s">
        <v>752</v>
      </c>
      <c r="E340" s="20" t="s">
        <v>66</v>
      </c>
      <c r="F340" s="20" t="s">
        <v>82</v>
      </c>
      <c r="G340" s="20" t="n">
        <v>1</v>
      </c>
      <c r="H340" s="20" t="n">
        <v>22</v>
      </c>
      <c r="I340" s="20" t="s">
        <v>50</v>
      </c>
    </row>
    <row r="341" customFormat="false" ht="15" hidden="false" customHeight="false" outlineLevel="0" collapsed="false">
      <c r="A341" s="20" t="s">
        <v>808</v>
      </c>
      <c r="B341" s="20" t="s">
        <v>809</v>
      </c>
      <c r="C341" s="20" t="s">
        <v>306</v>
      </c>
      <c r="D341" s="20" t="s">
        <v>70</v>
      </c>
      <c r="E341" s="20" t="s">
        <v>110</v>
      </c>
      <c r="F341" s="20" t="s">
        <v>236</v>
      </c>
      <c r="G341" s="20" t="n">
        <v>1</v>
      </c>
      <c r="H341" s="20" t="n">
        <v>30</v>
      </c>
      <c r="I341" s="20" t="s">
        <v>112</v>
      </c>
    </row>
    <row r="342" customFormat="false" ht="15" hidden="false" customHeight="false" outlineLevel="0" collapsed="false">
      <c r="A342" s="20" t="s">
        <v>810</v>
      </c>
      <c r="B342" s="20" t="s">
        <v>811</v>
      </c>
      <c r="C342" s="20" t="s">
        <v>592</v>
      </c>
      <c r="D342" s="20" t="s">
        <v>403</v>
      </c>
      <c r="E342" s="20" t="s">
        <v>48</v>
      </c>
      <c r="F342" s="20" t="s">
        <v>116</v>
      </c>
      <c r="G342" s="20" t="n">
        <v>1</v>
      </c>
      <c r="H342" s="20" t="n">
        <v>28</v>
      </c>
      <c r="I342" s="20" t="s">
        <v>163</v>
      </c>
    </row>
    <row r="343" customFormat="false" ht="15" hidden="false" customHeight="false" outlineLevel="0" collapsed="false">
      <c r="A343" s="20" t="s">
        <v>812</v>
      </c>
      <c r="B343" s="20" t="s">
        <v>74</v>
      </c>
      <c r="C343" s="20"/>
      <c r="D343" s="20" t="s">
        <v>59</v>
      </c>
      <c r="E343" s="20" t="s">
        <v>110</v>
      </c>
      <c r="F343" s="20" t="s">
        <v>111</v>
      </c>
      <c r="G343" s="20" t="n">
        <v>4</v>
      </c>
      <c r="H343" s="20" t="n">
        <v>16</v>
      </c>
      <c r="I343" s="20" t="s">
        <v>50</v>
      </c>
    </row>
    <row r="344" customFormat="false" ht="15" hidden="false" customHeight="false" outlineLevel="0" collapsed="false">
      <c r="A344" s="20" t="s">
        <v>813</v>
      </c>
      <c r="B344" s="21" t="n">
        <v>46001</v>
      </c>
      <c r="C344" s="20" t="s">
        <v>357</v>
      </c>
      <c r="D344" s="20" t="s">
        <v>47</v>
      </c>
      <c r="E344" s="20" t="s">
        <v>54</v>
      </c>
      <c r="F344" s="20" t="s">
        <v>72</v>
      </c>
      <c r="G344" s="20" t="n">
        <v>3</v>
      </c>
      <c r="H344" s="20" t="n">
        <v>24</v>
      </c>
      <c r="I344" s="20" t="s">
        <v>50</v>
      </c>
    </row>
    <row r="345" customFormat="false" ht="15" hidden="false" customHeight="false" outlineLevel="0" collapsed="false">
      <c r="A345" s="20" t="s">
        <v>814</v>
      </c>
      <c r="B345" s="20" t="s">
        <v>815</v>
      </c>
      <c r="C345" s="20" t="s">
        <v>80</v>
      </c>
      <c r="D345" s="20" t="s">
        <v>70</v>
      </c>
      <c r="E345" s="20" t="s">
        <v>297</v>
      </c>
      <c r="F345" s="20" t="s">
        <v>236</v>
      </c>
      <c r="G345" s="20" t="n">
        <v>1</v>
      </c>
      <c r="H345" s="20" t="n">
        <v>30</v>
      </c>
      <c r="I345" s="20" t="s">
        <v>50</v>
      </c>
    </row>
    <row r="346" customFormat="false" ht="15" hidden="false" customHeight="false" outlineLevel="0" collapsed="false">
      <c r="A346" s="20" t="s">
        <v>816</v>
      </c>
      <c r="B346" s="20" t="s">
        <v>817</v>
      </c>
      <c r="C346" s="20" t="s">
        <v>719</v>
      </c>
      <c r="D346" s="20" t="s">
        <v>345</v>
      </c>
      <c r="E346" s="20" t="s">
        <v>81</v>
      </c>
      <c r="F346" s="20" t="s">
        <v>82</v>
      </c>
      <c r="G346" s="20" t="n">
        <v>1</v>
      </c>
      <c r="H346" s="20" t="n">
        <v>22</v>
      </c>
      <c r="I346" s="20" t="s">
        <v>50</v>
      </c>
    </row>
    <row r="347" customFormat="false" ht="15" hidden="false" customHeight="false" outlineLevel="0" collapsed="false">
      <c r="A347" s="20" t="s">
        <v>818</v>
      </c>
      <c r="B347" s="20" t="s">
        <v>819</v>
      </c>
      <c r="C347" s="20"/>
      <c r="D347" s="20" t="s">
        <v>65</v>
      </c>
      <c r="E347" s="20" t="s">
        <v>81</v>
      </c>
      <c r="F347" s="20" t="s">
        <v>82</v>
      </c>
      <c r="G347" s="20" t="n">
        <v>3</v>
      </c>
      <c r="H347" s="20" t="n">
        <v>22</v>
      </c>
      <c r="I347" s="20" t="s">
        <v>50</v>
      </c>
    </row>
    <row r="348" customFormat="false" ht="15" hidden="false" customHeight="false" outlineLevel="0" collapsed="false">
      <c r="A348" s="20" t="s">
        <v>820</v>
      </c>
      <c r="B348" s="21" t="n">
        <v>45768</v>
      </c>
      <c r="C348" s="20" t="s">
        <v>415</v>
      </c>
      <c r="D348" s="20" t="s">
        <v>301</v>
      </c>
      <c r="E348" s="20" t="s">
        <v>110</v>
      </c>
      <c r="F348" s="20" t="s">
        <v>121</v>
      </c>
      <c r="G348" s="20" t="n">
        <v>1</v>
      </c>
      <c r="H348" s="20" t="s">
        <v>122</v>
      </c>
      <c r="I348" s="20" t="s">
        <v>50</v>
      </c>
    </row>
    <row r="349" customFormat="false" ht="15" hidden="false" customHeight="false" outlineLevel="0" collapsed="false">
      <c r="A349" s="20" t="s">
        <v>821</v>
      </c>
      <c r="B349" s="20" t="s">
        <v>822</v>
      </c>
      <c r="C349" s="20" t="s">
        <v>86</v>
      </c>
      <c r="D349" s="20" t="s">
        <v>65</v>
      </c>
      <c r="E349" s="20" t="s">
        <v>48</v>
      </c>
      <c r="F349" s="20" t="s">
        <v>116</v>
      </c>
      <c r="G349" s="20" t="n">
        <v>1</v>
      </c>
      <c r="H349" s="20" t="s">
        <v>162</v>
      </c>
      <c r="I349" s="20" t="s">
        <v>50</v>
      </c>
    </row>
    <row r="350" customFormat="false" ht="15" hidden="false" customHeight="false" outlineLevel="0" collapsed="false">
      <c r="A350" s="20" t="s">
        <v>823</v>
      </c>
      <c r="B350" s="20" t="s">
        <v>824</v>
      </c>
      <c r="C350" s="20" t="s">
        <v>422</v>
      </c>
      <c r="D350" s="20" t="s">
        <v>59</v>
      </c>
      <c r="E350" s="20" t="s">
        <v>81</v>
      </c>
      <c r="F350" s="20" t="s">
        <v>67</v>
      </c>
      <c r="G350" s="20" t="n">
        <v>1</v>
      </c>
      <c r="H350" s="20" t="s">
        <v>135</v>
      </c>
      <c r="I350" s="20" t="s">
        <v>50</v>
      </c>
    </row>
    <row r="351" customFormat="false" ht="15" hidden="false" customHeight="false" outlineLevel="0" collapsed="false">
      <c r="A351" s="20" t="s">
        <v>825</v>
      </c>
      <c r="B351" s="21" t="n">
        <v>45953</v>
      </c>
      <c r="C351" s="20" t="s">
        <v>826</v>
      </c>
      <c r="D351" s="20" t="s">
        <v>319</v>
      </c>
      <c r="E351" s="20" t="s">
        <v>48</v>
      </c>
      <c r="F351" s="20" t="s">
        <v>144</v>
      </c>
      <c r="G351" s="20" t="n">
        <v>1</v>
      </c>
      <c r="H351" s="20" t="n">
        <v>54</v>
      </c>
      <c r="I351" s="20" t="s">
        <v>50</v>
      </c>
    </row>
    <row r="352" customFormat="false" ht="15" hidden="false" customHeight="false" outlineLevel="0" collapsed="false">
      <c r="A352" s="20" t="s">
        <v>827</v>
      </c>
      <c r="B352" s="20" t="s">
        <v>828</v>
      </c>
      <c r="C352" s="20" t="s">
        <v>166</v>
      </c>
      <c r="D352" s="20" t="s">
        <v>707</v>
      </c>
      <c r="E352" s="20" t="s">
        <v>110</v>
      </c>
      <c r="F352" s="20" t="s">
        <v>236</v>
      </c>
      <c r="G352" s="20" t="n">
        <v>1</v>
      </c>
      <c r="H352" s="20" t="n">
        <v>30</v>
      </c>
      <c r="I352" s="20" t="s">
        <v>50</v>
      </c>
    </row>
    <row r="353" customFormat="false" ht="15" hidden="false" customHeight="false" outlineLevel="0" collapsed="false">
      <c r="A353" s="20" t="s">
        <v>829</v>
      </c>
      <c r="B353" s="20" t="s">
        <v>830</v>
      </c>
      <c r="C353" s="20" t="s">
        <v>80</v>
      </c>
      <c r="D353" s="20" t="s">
        <v>403</v>
      </c>
      <c r="E353" s="20" t="s">
        <v>81</v>
      </c>
      <c r="F353" s="20" t="s">
        <v>67</v>
      </c>
      <c r="G353" s="20" t="n">
        <v>1</v>
      </c>
      <c r="H353" s="20" t="n">
        <v>45</v>
      </c>
      <c r="I353" s="20" t="s">
        <v>136</v>
      </c>
    </row>
    <row r="354" customFormat="false" ht="15" hidden="false" customHeight="false" outlineLevel="0" collapsed="false">
      <c r="A354" s="20" t="s">
        <v>831</v>
      </c>
      <c r="B354" s="20" t="s">
        <v>528</v>
      </c>
      <c r="C354" s="20" t="s">
        <v>634</v>
      </c>
      <c r="D354" s="20" t="s">
        <v>157</v>
      </c>
      <c r="E354" s="20" t="s">
        <v>110</v>
      </c>
      <c r="F354" s="20" t="s">
        <v>236</v>
      </c>
      <c r="G354" s="20" t="n">
        <v>2</v>
      </c>
      <c r="H354" s="20" t="n">
        <v>30</v>
      </c>
      <c r="I354" s="20" t="s">
        <v>136</v>
      </c>
    </row>
    <row r="355" customFormat="false" ht="15" hidden="false" customHeight="false" outlineLevel="0" collapsed="false">
      <c r="A355" s="20" t="s">
        <v>832</v>
      </c>
      <c r="B355" s="21" t="n">
        <v>45728</v>
      </c>
      <c r="C355" s="20" t="s">
        <v>344</v>
      </c>
      <c r="D355" s="20" t="s">
        <v>47</v>
      </c>
      <c r="E355" s="20" t="s">
        <v>207</v>
      </c>
      <c r="F355" s="20" t="s">
        <v>105</v>
      </c>
      <c r="G355" s="20" t="n">
        <v>2</v>
      </c>
      <c r="H355" s="20" t="n">
        <v>49</v>
      </c>
      <c r="I355" s="20" t="s">
        <v>163</v>
      </c>
    </row>
    <row r="356" customFormat="false" ht="15" hidden="false" customHeight="false" outlineLevel="0" collapsed="false">
      <c r="A356" s="20" t="s">
        <v>833</v>
      </c>
      <c r="B356" s="20" t="s">
        <v>834</v>
      </c>
      <c r="C356" s="20" t="s">
        <v>690</v>
      </c>
      <c r="D356" s="20" t="s">
        <v>47</v>
      </c>
      <c r="E356" s="20" t="s">
        <v>92</v>
      </c>
      <c r="F356" s="20" t="s">
        <v>196</v>
      </c>
      <c r="G356" s="20" t="n">
        <v>4</v>
      </c>
      <c r="H356" s="20" t="s">
        <v>220</v>
      </c>
      <c r="I356" s="20" t="s">
        <v>50</v>
      </c>
    </row>
    <row r="357" customFormat="false" ht="15" hidden="false" customHeight="false" outlineLevel="0" collapsed="false">
      <c r="A357" s="20" t="s">
        <v>835</v>
      </c>
      <c r="B357" s="20" t="s">
        <v>836</v>
      </c>
      <c r="C357" s="20" t="s">
        <v>80</v>
      </c>
      <c r="D357" s="20" t="s">
        <v>65</v>
      </c>
      <c r="E357" s="20" t="s">
        <v>81</v>
      </c>
      <c r="F357" s="20" t="s">
        <v>82</v>
      </c>
      <c r="G357" s="20" t="n">
        <v>1</v>
      </c>
      <c r="H357" s="20" t="s">
        <v>154</v>
      </c>
      <c r="I357" s="20" t="s">
        <v>50</v>
      </c>
    </row>
    <row r="358" customFormat="false" ht="15" hidden="false" customHeight="false" outlineLevel="0" collapsed="false">
      <c r="A358" s="20" t="s">
        <v>837</v>
      </c>
      <c r="B358" s="20" t="s">
        <v>838</v>
      </c>
      <c r="C358" s="20" t="s">
        <v>397</v>
      </c>
      <c r="D358" s="20" t="s">
        <v>587</v>
      </c>
      <c r="E358" s="20" t="s">
        <v>48</v>
      </c>
      <c r="F358" s="20" t="s">
        <v>144</v>
      </c>
      <c r="G358" s="20" t="n">
        <v>4</v>
      </c>
      <c r="H358" s="20" t="s">
        <v>229</v>
      </c>
      <c r="I358" s="20" t="s">
        <v>50</v>
      </c>
    </row>
    <row r="359" customFormat="false" ht="15" hidden="false" customHeight="false" outlineLevel="0" collapsed="false">
      <c r="A359" s="20" t="s">
        <v>839</v>
      </c>
      <c r="B359" s="20" t="s">
        <v>840</v>
      </c>
      <c r="C359" s="20" t="s">
        <v>245</v>
      </c>
      <c r="D359" s="20" t="s">
        <v>65</v>
      </c>
      <c r="E359" s="20" t="s">
        <v>92</v>
      </c>
      <c r="F359" s="20" t="s">
        <v>196</v>
      </c>
      <c r="G359" s="20" t="n">
        <v>1</v>
      </c>
      <c r="H359" s="20" t="s">
        <v>220</v>
      </c>
      <c r="I359" s="20" t="s">
        <v>50</v>
      </c>
    </row>
    <row r="360" customFormat="false" ht="15" hidden="false" customHeight="false" outlineLevel="0" collapsed="false">
      <c r="A360" s="20" t="s">
        <v>841</v>
      </c>
      <c r="B360" s="21" t="n">
        <v>45666</v>
      </c>
      <c r="C360" s="20" t="s">
        <v>174</v>
      </c>
      <c r="D360" s="20" t="s">
        <v>65</v>
      </c>
      <c r="E360" s="20" t="s">
        <v>207</v>
      </c>
      <c r="F360" s="20" t="s">
        <v>93</v>
      </c>
      <c r="G360" s="20" t="n">
        <v>2</v>
      </c>
      <c r="H360" s="20" t="n">
        <v>15</v>
      </c>
      <c r="I360" s="20" t="s">
        <v>50</v>
      </c>
    </row>
    <row r="361" customFormat="false" ht="15" hidden="false" customHeight="false" outlineLevel="0" collapsed="false">
      <c r="A361" s="20" t="s">
        <v>842</v>
      </c>
      <c r="B361" s="21" t="n">
        <v>46008</v>
      </c>
      <c r="C361" s="20" t="s">
        <v>843</v>
      </c>
      <c r="D361" s="20" t="s">
        <v>53</v>
      </c>
      <c r="E361" s="20" t="s">
        <v>92</v>
      </c>
      <c r="F361" s="20" t="s">
        <v>105</v>
      </c>
      <c r="G361" s="20" t="n">
        <v>2</v>
      </c>
      <c r="H361" s="20" t="s">
        <v>126</v>
      </c>
      <c r="I361" s="20" t="s">
        <v>50</v>
      </c>
    </row>
    <row r="362" customFormat="false" ht="15" hidden="false" customHeight="false" outlineLevel="0" collapsed="false">
      <c r="A362" s="20" t="s">
        <v>844</v>
      </c>
      <c r="B362" s="20" t="s">
        <v>845</v>
      </c>
      <c r="C362" s="20" t="s">
        <v>183</v>
      </c>
      <c r="D362" s="20" t="s">
        <v>47</v>
      </c>
      <c r="E362" s="20" t="s">
        <v>54</v>
      </c>
      <c r="F362" s="20" t="s">
        <v>76</v>
      </c>
      <c r="G362" s="20" t="n">
        <v>1</v>
      </c>
      <c r="H362" s="20" t="n">
        <v>32</v>
      </c>
      <c r="I362" s="20" t="s">
        <v>50</v>
      </c>
    </row>
    <row r="363" customFormat="false" ht="15" hidden="false" customHeight="false" outlineLevel="0" collapsed="false">
      <c r="A363" s="20" t="s">
        <v>846</v>
      </c>
      <c r="B363" s="20" t="s">
        <v>847</v>
      </c>
      <c r="C363" s="20" t="s">
        <v>570</v>
      </c>
      <c r="D363" s="20" t="s">
        <v>65</v>
      </c>
      <c r="E363" s="20" t="s">
        <v>81</v>
      </c>
      <c r="F363" s="20" t="s">
        <v>82</v>
      </c>
      <c r="G363" s="20" t="n">
        <v>1</v>
      </c>
      <c r="H363" s="20" t="n">
        <v>22</v>
      </c>
      <c r="I363" s="20" t="s">
        <v>50</v>
      </c>
    </row>
    <row r="364" customFormat="false" ht="15" hidden="false" customHeight="false" outlineLevel="0" collapsed="false">
      <c r="A364" s="20" t="s">
        <v>848</v>
      </c>
      <c r="B364" s="20" t="s">
        <v>849</v>
      </c>
      <c r="C364" s="20" t="s">
        <v>348</v>
      </c>
      <c r="D364" s="20" t="s">
        <v>65</v>
      </c>
      <c r="E364" s="20" t="s">
        <v>92</v>
      </c>
      <c r="F364" s="20" t="s">
        <v>196</v>
      </c>
      <c r="G364" s="20" t="n">
        <v>4</v>
      </c>
      <c r="H364" s="20" t="n">
        <v>89</v>
      </c>
      <c r="I364" s="20" t="s">
        <v>50</v>
      </c>
    </row>
    <row r="365" customFormat="false" ht="15" hidden="false" customHeight="false" outlineLevel="0" collapsed="false">
      <c r="A365" s="20" t="s">
        <v>850</v>
      </c>
      <c r="B365" s="20" t="s">
        <v>851</v>
      </c>
      <c r="C365" s="20" t="s">
        <v>58</v>
      </c>
      <c r="D365" s="20" t="s">
        <v>65</v>
      </c>
      <c r="E365" s="20" t="s">
        <v>92</v>
      </c>
      <c r="F365" s="20" t="s">
        <v>196</v>
      </c>
      <c r="G365" s="20" t="n">
        <v>1</v>
      </c>
      <c r="H365" s="20" t="s">
        <v>220</v>
      </c>
      <c r="I365" s="20" t="s">
        <v>50</v>
      </c>
    </row>
    <row r="366" customFormat="false" ht="15" hidden="false" customHeight="false" outlineLevel="0" collapsed="false">
      <c r="A366" s="20" t="s">
        <v>852</v>
      </c>
      <c r="B366" s="20" t="s">
        <v>853</v>
      </c>
      <c r="C366" s="20" t="s">
        <v>431</v>
      </c>
      <c r="D366" s="20" t="s">
        <v>47</v>
      </c>
      <c r="E366" s="20" t="s">
        <v>54</v>
      </c>
      <c r="F366" s="20" t="s">
        <v>72</v>
      </c>
      <c r="G366" s="20" t="n">
        <v>1</v>
      </c>
      <c r="H366" s="20" t="n">
        <v>24</v>
      </c>
      <c r="I366" s="20" t="s">
        <v>50</v>
      </c>
    </row>
    <row r="367" customFormat="false" ht="15" hidden="false" customHeight="false" outlineLevel="0" collapsed="false">
      <c r="A367" s="20" t="s">
        <v>854</v>
      </c>
      <c r="B367" s="20" t="s">
        <v>855</v>
      </c>
      <c r="C367" s="20" t="s">
        <v>97</v>
      </c>
      <c r="D367" s="20" t="s">
        <v>47</v>
      </c>
      <c r="E367" s="20" t="s">
        <v>54</v>
      </c>
      <c r="F367" s="20" t="s">
        <v>72</v>
      </c>
      <c r="G367" s="20" t="n">
        <v>2</v>
      </c>
      <c r="H367" s="20" t="n">
        <v>24</v>
      </c>
      <c r="I367" s="20" t="s">
        <v>50</v>
      </c>
    </row>
    <row r="368" customFormat="false" ht="15" hidden="false" customHeight="false" outlineLevel="0" collapsed="false">
      <c r="A368" s="20" t="s">
        <v>856</v>
      </c>
      <c r="B368" s="21" t="n">
        <v>45800</v>
      </c>
      <c r="C368" s="20" t="s">
        <v>457</v>
      </c>
      <c r="D368" s="20" t="s">
        <v>47</v>
      </c>
      <c r="E368" s="20" t="s">
        <v>81</v>
      </c>
      <c r="F368" s="20" t="s">
        <v>67</v>
      </c>
      <c r="G368" s="20" t="n">
        <v>1</v>
      </c>
      <c r="H368" s="20" t="n">
        <v>45</v>
      </c>
      <c r="I368" s="20" t="s">
        <v>50</v>
      </c>
    </row>
    <row r="369" customFormat="false" ht="15" hidden="false" customHeight="false" outlineLevel="0" collapsed="false">
      <c r="A369" s="20" t="s">
        <v>857</v>
      </c>
      <c r="B369" s="21" t="n">
        <v>45803</v>
      </c>
      <c r="C369" s="20" t="s">
        <v>323</v>
      </c>
      <c r="D369" s="20" t="s">
        <v>171</v>
      </c>
      <c r="E369" s="20" t="s">
        <v>110</v>
      </c>
      <c r="F369" s="20" t="s">
        <v>236</v>
      </c>
      <c r="G369" s="20" t="n">
        <v>2</v>
      </c>
      <c r="H369" s="20" t="n">
        <v>30</v>
      </c>
      <c r="I369" s="20" t="s">
        <v>50</v>
      </c>
    </row>
    <row r="370" customFormat="false" ht="15" hidden="false" customHeight="false" outlineLevel="0" collapsed="false">
      <c r="A370" s="20" t="s">
        <v>858</v>
      </c>
      <c r="B370" s="21" t="n">
        <v>45983</v>
      </c>
      <c r="C370" s="20" t="s">
        <v>286</v>
      </c>
      <c r="D370" s="20" t="s">
        <v>47</v>
      </c>
      <c r="E370" s="20" t="s">
        <v>92</v>
      </c>
      <c r="F370" s="20" t="s">
        <v>196</v>
      </c>
      <c r="G370" s="20" t="n">
        <v>1</v>
      </c>
      <c r="H370" s="20" t="s">
        <v>220</v>
      </c>
      <c r="I370" s="20" t="s">
        <v>50</v>
      </c>
    </row>
    <row r="371" customFormat="false" ht="15" hidden="false" customHeight="false" outlineLevel="0" collapsed="false">
      <c r="A371" s="20" t="s">
        <v>859</v>
      </c>
      <c r="B371" s="20" t="s">
        <v>760</v>
      </c>
      <c r="C371" s="20" t="s">
        <v>97</v>
      </c>
      <c r="D371" s="20" t="s">
        <v>109</v>
      </c>
      <c r="E371" s="20" t="s">
        <v>110</v>
      </c>
      <c r="F371" s="20" t="s">
        <v>121</v>
      </c>
      <c r="G371" s="20" t="n">
        <v>3</v>
      </c>
      <c r="H371" s="20" t="n">
        <v>21</v>
      </c>
      <c r="I371" s="20" t="s">
        <v>112</v>
      </c>
    </row>
    <row r="372" customFormat="false" ht="15" hidden="false" customHeight="false" outlineLevel="0" collapsed="false">
      <c r="A372" s="20" t="s">
        <v>860</v>
      </c>
      <c r="B372" s="20" t="s">
        <v>861</v>
      </c>
      <c r="C372" s="20" t="s">
        <v>362</v>
      </c>
      <c r="D372" s="20" t="s">
        <v>109</v>
      </c>
      <c r="E372" s="20" t="s">
        <v>48</v>
      </c>
      <c r="F372" s="20" t="s">
        <v>49</v>
      </c>
      <c r="G372" s="20" t="n">
        <v>2</v>
      </c>
      <c r="H372" s="20" t="n">
        <v>18</v>
      </c>
      <c r="I372" s="20" t="s">
        <v>163</v>
      </c>
    </row>
    <row r="373" customFormat="false" ht="15" hidden="false" customHeight="false" outlineLevel="0" collapsed="false">
      <c r="A373" s="20" t="s">
        <v>862</v>
      </c>
      <c r="B373" s="21" t="n">
        <v>45921</v>
      </c>
      <c r="C373" s="20" t="s">
        <v>447</v>
      </c>
      <c r="D373" s="20" t="s">
        <v>345</v>
      </c>
      <c r="E373" s="20" t="s">
        <v>110</v>
      </c>
      <c r="F373" s="20" t="s">
        <v>236</v>
      </c>
      <c r="G373" s="20" t="n">
        <v>1</v>
      </c>
      <c r="H373" s="20" t="n">
        <v>30</v>
      </c>
      <c r="I373" s="20" t="s">
        <v>50</v>
      </c>
    </row>
    <row r="374" customFormat="false" ht="15" hidden="false" customHeight="false" outlineLevel="0" collapsed="false">
      <c r="A374" s="20" t="s">
        <v>863</v>
      </c>
      <c r="B374" s="20" t="s">
        <v>864</v>
      </c>
      <c r="C374" s="20" t="s">
        <v>570</v>
      </c>
      <c r="D374" s="20" t="s">
        <v>53</v>
      </c>
      <c r="E374" s="20" t="s">
        <v>92</v>
      </c>
      <c r="F374" s="20" t="s">
        <v>93</v>
      </c>
      <c r="G374" s="20" t="n">
        <v>1</v>
      </c>
      <c r="H374" s="20" t="n">
        <v>15</v>
      </c>
      <c r="I374" s="20" t="s">
        <v>50</v>
      </c>
    </row>
    <row r="375" customFormat="false" ht="15" hidden="false" customHeight="false" outlineLevel="0" collapsed="false">
      <c r="A375" s="20" t="s">
        <v>865</v>
      </c>
      <c r="B375" s="20" t="s">
        <v>866</v>
      </c>
      <c r="C375" s="20" t="s">
        <v>97</v>
      </c>
      <c r="D375" s="20" t="s">
        <v>47</v>
      </c>
      <c r="E375" s="20" t="s">
        <v>48</v>
      </c>
      <c r="F375" s="20" t="s">
        <v>116</v>
      </c>
      <c r="G375" s="20" t="n">
        <v>1</v>
      </c>
      <c r="H375" s="20" t="n">
        <v>28</v>
      </c>
      <c r="I375" s="20" t="s">
        <v>50</v>
      </c>
    </row>
    <row r="376" customFormat="false" ht="15" hidden="false" customHeight="false" outlineLevel="0" collapsed="false">
      <c r="A376" s="20" t="s">
        <v>867</v>
      </c>
      <c r="B376" s="20" t="s">
        <v>255</v>
      </c>
      <c r="C376" s="20" t="s">
        <v>570</v>
      </c>
      <c r="D376" s="20" t="s">
        <v>109</v>
      </c>
      <c r="E376" s="20" t="s">
        <v>92</v>
      </c>
      <c r="F376" s="20" t="s">
        <v>196</v>
      </c>
      <c r="G376" s="20" t="n">
        <v>2</v>
      </c>
      <c r="H376" s="20" t="n">
        <v>89</v>
      </c>
      <c r="I376" s="20" t="s">
        <v>50</v>
      </c>
    </row>
    <row r="377" customFormat="false" ht="15" hidden="false" customHeight="false" outlineLevel="0" collapsed="false">
      <c r="A377" s="20" t="s">
        <v>868</v>
      </c>
      <c r="B377" s="20" t="s">
        <v>869</v>
      </c>
      <c r="C377" s="20" t="s">
        <v>344</v>
      </c>
      <c r="D377" s="20" t="s">
        <v>70</v>
      </c>
      <c r="E377" s="20" t="s">
        <v>54</v>
      </c>
      <c r="F377" s="20" t="s">
        <v>55</v>
      </c>
      <c r="G377" s="20" t="n">
        <v>3</v>
      </c>
      <c r="H377" s="20" t="n">
        <v>38</v>
      </c>
      <c r="I377" s="20" t="s">
        <v>163</v>
      </c>
    </row>
    <row r="378" customFormat="false" ht="15" hidden="false" customHeight="false" outlineLevel="0" collapsed="false">
      <c r="A378" s="20" t="s">
        <v>870</v>
      </c>
      <c r="B378" s="21" t="n">
        <v>45858</v>
      </c>
      <c r="C378" s="20" t="s">
        <v>245</v>
      </c>
      <c r="D378" s="20" t="s">
        <v>65</v>
      </c>
      <c r="E378" s="20" t="s">
        <v>48</v>
      </c>
      <c r="F378" s="20" t="s">
        <v>116</v>
      </c>
      <c r="G378" s="20" t="n">
        <v>2</v>
      </c>
      <c r="H378" s="20" t="s">
        <v>162</v>
      </c>
      <c r="I378" s="20" t="s">
        <v>50</v>
      </c>
    </row>
    <row r="379" customFormat="false" ht="15" hidden="false" customHeight="false" outlineLevel="0" collapsed="false">
      <c r="A379" s="20" t="s">
        <v>772</v>
      </c>
      <c r="B379" s="20" t="s">
        <v>697</v>
      </c>
      <c r="C379" s="20" t="s">
        <v>248</v>
      </c>
      <c r="D379" s="20" t="s">
        <v>59</v>
      </c>
      <c r="E379" s="20" t="s">
        <v>92</v>
      </c>
      <c r="F379" s="20" t="s">
        <v>196</v>
      </c>
      <c r="G379" s="20" t="n">
        <v>1</v>
      </c>
      <c r="H379" s="20" t="s">
        <v>220</v>
      </c>
      <c r="I379" s="20" t="s">
        <v>50</v>
      </c>
    </row>
    <row r="380" customFormat="false" ht="15" hidden="false" customHeight="false" outlineLevel="0" collapsed="false">
      <c r="A380" s="20" t="s">
        <v>871</v>
      </c>
      <c r="B380" s="20" t="s">
        <v>872</v>
      </c>
      <c r="C380" s="20" t="s">
        <v>306</v>
      </c>
      <c r="D380" s="20" t="s">
        <v>47</v>
      </c>
      <c r="E380" s="20" t="s">
        <v>81</v>
      </c>
      <c r="F380" s="20" t="s">
        <v>67</v>
      </c>
      <c r="G380" s="20" t="n">
        <v>2</v>
      </c>
      <c r="H380" s="20" t="s">
        <v>135</v>
      </c>
      <c r="I380" s="20" t="s">
        <v>199</v>
      </c>
    </row>
    <row r="381" customFormat="false" ht="15" hidden="false" customHeight="false" outlineLevel="0" collapsed="false">
      <c r="A381" s="20" t="s">
        <v>873</v>
      </c>
      <c r="B381" s="20" t="s">
        <v>874</v>
      </c>
      <c r="C381" s="20" t="s">
        <v>248</v>
      </c>
      <c r="D381" s="20" t="s">
        <v>65</v>
      </c>
      <c r="E381" s="20" t="s">
        <v>81</v>
      </c>
      <c r="F381" s="20" t="s">
        <v>61</v>
      </c>
      <c r="G381" s="20" t="n">
        <v>1</v>
      </c>
      <c r="H381" s="20" t="s">
        <v>88</v>
      </c>
      <c r="I381" s="20" t="s">
        <v>50</v>
      </c>
    </row>
    <row r="382" customFormat="false" ht="15" hidden="false" customHeight="false" outlineLevel="0" collapsed="false">
      <c r="A382" s="20" t="s">
        <v>875</v>
      </c>
      <c r="B382" s="20" t="s">
        <v>876</v>
      </c>
      <c r="C382" s="20" t="s">
        <v>104</v>
      </c>
      <c r="D382" s="20" t="s">
        <v>157</v>
      </c>
      <c r="E382" s="20" t="s">
        <v>81</v>
      </c>
      <c r="F382" s="20" t="s">
        <v>61</v>
      </c>
      <c r="G382" s="20" t="n">
        <v>1</v>
      </c>
      <c r="H382" s="20" t="n">
        <v>35</v>
      </c>
      <c r="I382" s="20" t="s">
        <v>50</v>
      </c>
    </row>
    <row r="383" customFormat="false" ht="15" hidden="false" customHeight="false" outlineLevel="0" collapsed="false">
      <c r="A383" s="20" t="s">
        <v>877</v>
      </c>
      <c r="B383" s="20" t="s">
        <v>878</v>
      </c>
      <c r="C383" s="20" t="s">
        <v>348</v>
      </c>
      <c r="D383" s="20" t="s">
        <v>70</v>
      </c>
      <c r="E383" s="20" t="s">
        <v>110</v>
      </c>
      <c r="F383" s="20" t="s">
        <v>111</v>
      </c>
      <c r="G383" s="20" t="n">
        <v>3</v>
      </c>
      <c r="H383" s="20" t="n">
        <v>16</v>
      </c>
      <c r="I383" s="20" t="s">
        <v>50</v>
      </c>
    </row>
    <row r="384" customFormat="false" ht="15" hidden="false" customHeight="false" outlineLevel="0" collapsed="false">
      <c r="A384" s="20" t="s">
        <v>879</v>
      </c>
      <c r="B384" s="20" t="s">
        <v>880</v>
      </c>
      <c r="C384" s="20" t="s">
        <v>332</v>
      </c>
      <c r="D384" s="20" t="s">
        <v>587</v>
      </c>
      <c r="E384" s="20" t="s">
        <v>81</v>
      </c>
      <c r="F384" s="20" t="s">
        <v>82</v>
      </c>
      <c r="G384" s="20" t="n">
        <v>2</v>
      </c>
      <c r="H384" s="20" t="n">
        <v>22</v>
      </c>
      <c r="I384" s="20" t="s">
        <v>199</v>
      </c>
    </row>
    <row r="385" customFormat="false" ht="15" hidden="false" customHeight="false" outlineLevel="0" collapsed="false">
      <c r="A385" s="20" t="s">
        <v>881</v>
      </c>
      <c r="B385" s="20" t="s">
        <v>882</v>
      </c>
      <c r="C385" s="20" t="s">
        <v>64</v>
      </c>
      <c r="D385" s="20" t="s">
        <v>109</v>
      </c>
      <c r="E385" s="20" t="s">
        <v>110</v>
      </c>
      <c r="F385" s="20" t="s">
        <v>121</v>
      </c>
      <c r="G385" s="20" t="n">
        <v>1</v>
      </c>
      <c r="H385" s="20" t="n">
        <v>21</v>
      </c>
      <c r="I385" s="20" t="s">
        <v>50</v>
      </c>
    </row>
    <row r="386" customFormat="false" ht="15" hidden="false" customHeight="false" outlineLevel="0" collapsed="false">
      <c r="A386" s="20" t="s">
        <v>883</v>
      </c>
      <c r="B386" s="21" t="n">
        <v>45896</v>
      </c>
      <c r="C386" s="20" t="s">
        <v>380</v>
      </c>
      <c r="D386" s="20" t="s">
        <v>70</v>
      </c>
      <c r="E386" s="20" t="s">
        <v>60</v>
      </c>
      <c r="F386" s="20" t="s">
        <v>82</v>
      </c>
      <c r="G386" s="20" t="n">
        <v>2</v>
      </c>
      <c r="H386" s="20" t="n">
        <v>22</v>
      </c>
      <c r="I386" s="20" t="s">
        <v>50</v>
      </c>
    </row>
    <row r="387" customFormat="false" ht="15" hidden="false" customHeight="false" outlineLevel="0" collapsed="false">
      <c r="A387" s="20" t="s">
        <v>884</v>
      </c>
      <c r="B387" s="20" t="s">
        <v>885</v>
      </c>
      <c r="C387" s="20" t="s">
        <v>150</v>
      </c>
      <c r="D387" s="20" t="s">
        <v>70</v>
      </c>
      <c r="E387" s="20" t="s">
        <v>140</v>
      </c>
      <c r="F387" s="20" t="s">
        <v>105</v>
      </c>
      <c r="G387" s="20" t="n">
        <v>2</v>
      </c>
      <c r="H387" s="20" t="n">
        <v>49</v>
      </c>
      <c r="I387" s="20" t="s">
        <v>50</v>
      </c>
    </row>
    <row r="388" customFormat="false" ht="15" hidden="false" customHeight="false" outlineLevel="0" collapsed="false">
      <c r="A388" s="20" t="s">
        <v>886</v>
      </c>
      <c r="B388" s="20" t="s">
        <v>887</v>
      </c>
      <c r="C388" s="20" t="s">
        <v>139</v>
      </c>
      <c r="D388" s="20" t="s">
        <v>109</v>
      </c>
      <c r="E388" s="20" t="s">
        <v>92</v>
      </c>
      <c r="F388" s="20" t="s">
        <v>105</v>
      </c>
      <c r="G388" s="20" t="n">
        <v>3</v>
      </c>
      <c r="H388" s="20" t="n">
        <v>49</v>
      </c>
      <c r="I388" s="20" t="s">
        <v>50</v>
      </c>
    </row>
    <row r="389" customFormat="false" ht="15" hidden="false" customHeight="false" outlineLevel="0" collapsed="false">
      <c r="A389" s="20" t="s">
        <v>888</v>
      </c>
      <c r="B389" s="20" t="s">
        <v>889</v>
      </c>
      <c r="C389" s="20" t="s">
        <v>286</v>
      </c>
      <c r="D389" s="20" t="s">
        <v>403</v>
      </c>
      <c r="E389" s="20" t="s">
        <v>110</v>
      </c>
      <c r="F389" s="20" t="s">
        <v>111</v>
      </c>
      <c r="G389" s="20" t="n">
        <v>1</v>
      </c>
      <c r="H389" s="20" t="s">
        <v>329</v>
      </c>
      <c r="I389" s="20" t="s">
        <v>50</v>
      </c>
    </row>
    <row r="390" customFormat="false" ht="15" hidden="false" customHeight="false" outlineLevel="0" collapsed="false">
      <c r="A390" s="20" t="s">
        <v>890</v>
      </c>
      <c r="B390" s="20" t="s">
        <v>891</v>
      </c>
      <c r="C390" s="20" t="s">
        <v>719</v>
      </c>
      <c r="D390" s="20" t="s">
        <v>171</v>
      </c>
      <c r="E390" s="20" t="s">
        <v>92</v>
      </c>
      <c r="F390" s="20" t="s">
        <v>105</v>
      </c>
      <c r="G390" s="20" t="n">
        <v>2</v>
      </c>
      <c r="H390" s="20" t="n">
        <v>49</v>
      </c>
      <c r="I390" s="20" t="s">
        <v>50</v>
      </c>
    </row>
    <row r="391" customFormat="false" ht="15" hidden="false" customHeight="false" outlineLevel="0" collapsed="false">
      <c r="A391" s="20" t="s">
        <v>892</v>
      </c>
      <c r="B391" s="21" t="n">
        <v>45676</v>
      </c>
      <c r="C391" s="20" t="s">
        <v>195</v>
      </c>
      <c r="D391" s="20" t="s">
        <v>47</v>
      </c>
      <c r="E391" s="20" t="s">
        <v>167</v>
      </c>
      <c r="F391" s="20" t="s">
        <v>72</v>
      </c>
      <c r="G391" s="20" t="n">
        <v>1</v>
      </c>
      <c r="H391" s="20" t="n">
        <v>24</v>
      </c>
      <c r="I391" s="20" t="s">
        <v>50</v>
      </c>
    </row>
    <row r="392" customFormat="false" ht="15" hidden="false" customHeight="false" outlineLevel="0" collapsed="false">
      <c r="A392" s="20" t="s">
        <v>893</v>
      </c>
      <c r="B392" s="20" t="s">
        <v>894</v>
      </c>
      <c r="C392" s="20" t="s">
        <v>573</v>
      </c>
      <c r="D392" s="20" t="s">
        <v>109</v>
      </c>
      <c r="E392" s="20" t="s">
        <v>48</v>
      </c>
      <c r="F392" s="20" t="s">
        <v>49</v>
      </c>
      <c r="G392" s="20" t="n">
        <v>1</v>
      </c>
      <c r="H392" s="20" t="s">
        <v>180</v>
      </c>
      <c r="I392" s="20" t="s">
        <v>50</v>
      </c>
    </row>
    <row r="393" customFormat="false" ht="15" hidden="false" customHeight="false" outlineLevel="0" collapsed="false">
      <c r="A393" s="20" t="s">
        <v>895</v>
      </c>
      <c r="B393" s="20" t="s">
        <v>896</v>
      </c>
      <c r="C393" s="20"/>
      <c r="D393" s="20" t="s">
        <v>70</v>
      </c>
      <c r="E393" s="20" t="s">
        <v>728</v>
      </c>
      <c r="F393" s="20" t="s">
        <v>196</v>
      </c>
      <c r="G393" s="20" t="n">
        <v>2</v>
      </c>
      <c r="H393" s="20" t="s">
        <v>220</v>
      </c>
      <c r="I393" s="20" t="s">
        <v>199</v>
      </c>
    </row>
    <row r="394" customFormat="false" ht="15" hidden="false" customHeight="false" outlineLevel="0" collapsed="false">
      <c r="A394" s="20" t="s">
        <v>897</v>
      </c>
      <c r="B394" s="21" t="n">
        <v>45769</v>
      </c>
      <c r="C394" s="20" t="s">
        <v>323</v>
      </c>
      <c r="D394" s="20" t="s">
        <v>587</v>
      </c>
      <c r="E394" s="20" t="s">
        <v>54</v>
      </c>
      <c r="F394" s="20" t="s">
        <v>76</v>
      </c>
      <c r="G394" s="20" t="n">
        <v>1</v>
      </c>
      <c r="H394" s="20" t="n">
        <v>32</v>
      </c>
      <c r="I394" s="20" t="s">
        <v>320</v>
      </c>
    </row>
    <row r="395" customFormat="false" ht="15" hidden="false" customHeight="false" outlineLevel="0" collapsed="false">
      <c r="A395" s="20" t="s">
        <v>898</v>
      </c>
      <c r="B395" s="20" t="s">
        <v>899</v>
      </c>
      <c r="C395" s="20" t="s">
        <v>174</v>
      </c>
      <c r="D395" s="20" t="s">
        <v>65</v>
      </c>
      <c r="E395" s="20" t="s">
        <v>54</v>
      </c>
      <c r="F395" s="20" t="s">
        <v>76</v>
      </c>
      <c r="G395" s="20" t="n">
        <v>2</v>
      </c>
      <c r="H395" s="20" t="n">
        <v>32</v>
      </c>
      <c r="I395" s="20" t="s">
        <v>50</v>
      </c>
    </row>
    <row r="396" customFormat="false" ht="15" hidden="false" customHeight="false" outlineLevel="0" collapsed="false">
      <c r="A396" s="20" t="s">
        <v>900</v>
      </c>
      <c r="B396" s="21" t="n">
        <v>45988</v>
      </c>
      <c r="C396" s="20" t="s">
        <v>901</v>
      </c>
      <c r="D396" s="20" t="s">
        <v>47</v>
      </c>
      <c r="E396" s="20" t="s">
        <v>48</v>
      </c>
      <c r="F396" s="20" t="s">
        <v>49</v>
      </c>
      <c r="G396" s="20" t="n">
        <v>1</v>
      </c>
      <c r="H396" s="20" t="n">
        <v>18</v>
      </c>
      <c r="I396" s="20" t="s">
        <v>50</v>
      </c>
    </row>
    <row r="397" customFormat="false" ht="15" hidden="false" customHeight="false" outlineLevel="0" collapsed="false">
      <c r="A397" s="20" t="s">
        <v>902</v>
      </c>
      <c r="B397" s="20" t="s">
        <v>822</v>
      </c>
      <c r="C397" s="20" t="s">
        <v>526</v>
      </c>
      <c r="D397" s="20" t="s">
        <v>109</v>
      </c>
      <c r="E397" s="20" t="s">
        <v>48</v>
      </c>
      <c r="F397" s="20" t="s">
        <v>116</v>
      </c>
      <c r="G397" s="20" t="n">
        <v>1</v>
      </c>
      <c r="H397" s="20" t="n">
        <v>28</v>
      </c>
      <c r="I397" s="20" t="s">
        <v>50</v>
      </c>
    </row>
    <row r="398" customFormat="false" ht="15" hidden="false" customHeight="false" outlineLevel="0" collapsed="false">
      <c r="A398" s="20" t="s">
        <v>903</v>
      </c>
      <c r="B398" s="21" t="n">
        <v>46019</v>
      </c>
      <c r="C398" s="20" t="s">
        <v>91</v>
      </c>
      <c r="D398" s="20" t="s">
        <v>109</v>
      </c>
      <c r="E398" s="20" t="s">
        <v>110</v>
      </c>
      <c r="F398" s="20" t="s">
        <v>121</v>
      </c>
      <c r="G398" s="20" t="n">
        <v>2</v>
      </c>
      <c r="H398" s="20" t="n">
        <v>21</v>
      </c>
      <c r="I398" s="20" t="s">
        <v>50</v>
      </c>
    </row>
    <row r="399" customFormat="false" ht="15" hidden="false" customHeight="false" outlineLevel="0" collapsed="false">
      <c r="A399" s="20" t="s">
        <v>904</v>
      </c>
      <c r="B399" s="20" t="s">
        <v>408</v>
      </c>
      <c r="C399" s="20" t="s">
        <v>447</v>
      </c>
      <c r="D399" s="20" t="s">
        <v>345</v>
      </c>
      <c r="E399" s="20" t="s">
        <v>48</v>
      </c>
      <c r="F399" s="20" t="s">
        <v>116</v>
      </c>
      <c r="G399" s="20" t="n">
        <v>2</v>
      </c>
      <c r="H399" s="20" t="n">
        <v>28</v>
      </c>
      <c r="I399" s="20" t="s">
        <v>199</v>
      </c>
    </row>
    <row r="400" customFormat="false" ht="15" hidden="false" customHeight="false" outlineLevel="0" collapsed="false">
      <c r="A400" s="20" t="s">
        <v>905</v>
      </c>
      <c r="B400" s="21" t="n">
        <v>45877</v>
      </c>
      <c r="C400" s="20" t="s">
        <v>97</v>
      </c>
      <c r="D400" s="20" t="s">
        <v>70</v>
      </c>
      <c r="E400" s="20" t="s">
        <v>48</v>
      </c>
      <c r="F400" s="20" t="s">
        <v>144</v>
      </c>
      <c r="G400" s="20" t="n">
        <v>1</v>
      </c>
      <c r="H400" s="20" t="n">
        <v>54</v>
      </c>
      <c r="I400" s="20" t="s">
        <v>50</v>
      </c>
    </row>
    <row r="401" customFormat="false" ht="15" hidden="false" customHeight="false" outlineLevel="0" collapsed="false">
      <c r="A401" s="20" t="s">
        <v>906</v>
      </c>
      <c r="B401" s="21" t="n">
        <v>45973</v>
      </c>
      <c r="C401" s="20" t="s">
        <v>826</v>
      </c>
      <c r="D401" s="20" t="s">
        <v>59</v>
      </c>
      <c r="E401" s="20" t="s">
        <v>120</v>
      </c>
      <c r="F401" s="20" t="s">
        <v>111</v>
      </c>
      <c r="G401" s="20" t="n">
        <v>1</v>
      </c>
      <c r="H401" s="20" t="n">
        <v>16</v>
      </c>
      <c r="I401" s="20" t="s">
        <v>136</v>
      </c>
    </row>
    <row r="402" customFormat="false" ht="15" hidden="false" customHeight="false" outlineLevel="0" collapsed="false">
      <c r="A402" s="20" t="s">
        <v>907</v>
      </c>
      <c r="B402" s="20" t="s">
        <v>96</v>
      </c>
      <c r="C402" s="20" t="s">
        <v>387</v>
      </c>
      <c r="D402" s="20" t="s">
        <v>109</v>
      </c>
      <c r="E402" s="20" t="s">
        <v>81</v>
      </c>
      <c r="F402" s="20" t="s">
        <v>82</v>
      </c>
      <c r="G402" s="20" t="n">
        <v>2</v>
      </c>
      <c r="H402" s="20" t="n">
        <v>22</v>
      </c>
      <c r="I402" s="20" t="s">
        <v>50</v>
      </c>
    </row>
    <row r="403" customFormat="false" ht="15" hidden="false" customHeight="false" outlineLevel="0" collapsed="false">
      <c r="A403" s="20" t="s">
        <v>908</v>
      </c>
      <c r="B403" s="20" t="s">
        <v>244</v>
      </c>
      <c r="C403" s="20" t="s">
        <v>909</v>
      </c>
      <c r="D403" s="20" t="s">
        <v>70</v>
      </c>
      <c r="E403" s="20" t="s">
        <v>48</v>
      </c>
      <c r="F403" s="20" t="s">
        <v>49</v>
      </c>
      <c r="G403" s="20" t="n">
        <v>1</v>
      </c>
      <c r="H403" s="20" t="n">
        <v>18</v>
      </c>
      <c r="I403" s="20" t="s">
        <v>50</v>
      </c>
    </row>
    <row r="404" customFormat="false" ht="15" hidden="false" customHeight="false" outlineLevel="0" collapsed="false">
      <c r="A404" s="20" t="s">
        <v>910</v>
      </c>
      <c r="B404" s="20" t="s">
        <v>911</v>
      </c>
      <c r="C404" s="20" t="s">
        <v>227</v>
      </c>
      <c r="D404" s="20" t="s">
        <v>47</v>
      </c>
      <c r="E404" s="20" t="s">
        <v>81</v>
      </c>
      <c r="F404" s="20" t="s">
        <v>82</v>
      </c>
      <c r="G404" s="20" t="n">
        <v>1</v>
      </c>
      <c r="H404" s="20" t="n">
        <v>22</v>
      </c>
      <c r="I404" s="20" t="s">
        <v>50</v>
      </c>
    </row>
    <row r="405" customFormat="false" ht="15" hidden="false" customHeight="false" outlineLevel="0" collapsed="false">
      <c r="A405" s="20" t="s">
        <v>912</v>
      </c>
      <c r="B405" s="21" t="n">
        <v>45875</v>
      </c>
      <c r="C405" s="20" t="s">
        <v>248</v>
      </c>
      <c r="D405" s="20" t="s">
        <v>65</v>
      </c>
      <c r="E405" s="20" t="s">
        <v>81</v>
      </c>
      <c r="F405" s="20" t="s">
        <v>61</v>
      </c>
      <c r="G405" s="20" t="n">
        <v>1</v>
      </c>
      <c r="H405" s="20" t="n">
        <v>35</v>
      </c>
      <c r="I405" s="20" t="s">
        <v>50</v>
      </c>
    </row>
    <row r="406" customFormat="false" ht="15" hidden="false" customHeight="false" outlineLevel="0" collapsed="false">
      <c r="A406" s="20" t="s">
        <v>913</v>
      </c>
      <c r="B406" s="20" t="s">
        <v>914</v>
      </c>
      <c r="C406" s="20" t="s">
        <v>573</v>
      </c>
      <c r="D406" s="20" t="s">
        <v>70</v>
      </c>
      <c r="E406" s="20" t="s">
        <v>48</v>
      </c>
      <c r="F406" s="20" t="s">
        <v>49</v>
      </c>
      <c r="G406" s="20" t="n">
        <v>4</v>
      </c>
      <c r="H406" s="20" t="n">
        <v>18</v>
      </c>
      <c r="I406" s="20" t="s">
        <v>136</v>
      </c>
    </row>
    <row r="407" customFormat="false" ht="15" hidden="false" customHeight="false" outlineLevel="0" collapsed="false">
      <c r="A407" s="20" t="s">
        <v>915</v>
      </c>
      <c r="B407" s="20" t="s">
        <v>473</v>
      </c>
      <c r="C407" s="20" t="s">
        <v>64</v>
      </c>
      <c r="D407" s="20" t="s">
        <v>53</v>
      </c>
      <c r="E407" s="20" t="s">
        <v>110</v>
      </c>
      <c r="F407" s="20" t="s">
        <v>236</v>
      </c>
      <c r="G407" s="20" t="n">
        <v>2</v>
      </c>
      <c r="H407" s="20" t="n">
        <v>30</v>
      </c>
      <c r="I407" s="20" t="s">
        <v>50</v>
      </c>
    </row>
    <row r="408" customFormat="false" ht="15" hidden="false" customHeight="false" outlineLevel="0" collapsed="false">
      <c r="A408" s="20" t="s">
        <v>916</v>
      </c>
      <c r="B408" s="21" t="n">
        <v>45864</v>
      </c>
      <c r="C408" s="20"/>
      <c r="D408" s="20" t="s">
        <v>59</v>
      </c>
      <c r="E408" s="20" t="s">
        <v>48</v>
      </c>
      <c r="F408" s="20" t="s">
        <v>144</v>
      </c>
      <c r="G408" s="20" t="n">
        <v>1</v>
      </c>
      <c r="H408" s="20" t="n">
        <v>54</v>
      </c>
      <c r="I408" s="20" t="s">
        <v>50</v>
      </c>
    </row>
    <row r="409" customFormat="false" ht="15" hidden="false" customHeight="false" outlineLevel="0" collapsed="false">
      <c r="A409" s="20" t="s">
        <v>917</v>
      </c>
      <c r="B409" s="20" t="s">
        <v>851</v>
      </c>
      <c r="C409" s="20" t="s">
        <v>476</v>
      </c>
      <c r="D409" s="20" t="s">
        <v>47</v>
      </c>
      <c r="E409" s="20" t="s">
        <v>81</v>
      </c>
      <c r="F409" s="20" t="s">
        <v>82</v>
      </c>
      <c r="G409" s="20" t="n">
        <v>1</v>
      </c>
      <c r="H409" s="20" t="s">
        <v>154</v>
      </c>
      <c r="I409" s="20" t="s">
        <v>136</v>
      </c>
    </row>
    <row r="410" customFormat="false" ht="15" hidden="false" customHeight="false" outlineLevel="0" collapsed="false">
      <c r="A410" s="20" t="s">
        <v>918</v>
      </c>
      <c r="B410" s="20" t="s">
        <v>919</v>
      </c>
      <c r="C410" s="20" t="s">
        <v>570</v>
      </c>
      <c r="D410" s="20" t="s">
        <v>70</v>
      </c>
      <c r="E410" s="20" t="s">
        <v>140</v>
      </c>
      <c r="F410" s="20" t="s">
        <v>105</v>
      </c>
      <c r="G410" s="20" t="n">
        <v>1</v>
      </c>
      <c r="H410" s="20" t="n">
        <v>49</v>
      </c>
      <c r="I410" s="20" t="s">
        <v>50</v>
      </c>
    </row>
    <row r="411" customFormat="false" ht="15" hidden="false" customHeight="false" outlineLevel="0" collapsed="false">
      <c r="A411" s="20" t="s">
        <v>920</v>
      </c>
      <c r="B411" s="20" t="s">
        <v>921</v>
      </c>
      <c r="C411" s="20"/>
      <c r="D411" s="20" t="s">
        <v>282</v>
      </c>
      <c r="E411" s="20" t="s">
        <v>92</v>
      </c>
      <c r="F411" s="20" t="s">
        <v>196</v>
      </c>
      <c r="G411" s="20" t="n">
        <v>2</v>
      </c>
      <c r="H411" s="20" t="n">
        <v>89</v>
      </c>
      <c r="I411" s="20" t="s">
        <v>50</v>
      </c>
    </row>
    <row r="412" customFormat="false" ht="15" hidden="false" customHeight="false" outlineLevel="0" collapsed="false">
      <c r="A412" s="20" t="s">
        <v>922</v>
      </c>
      <c r="B412" s="21" t="n">
        <v>46014</v>
      </c>
      <c r="C412" s="20" t="s">
        <v>923</v>
      </c>
      <c r="D412" s="20" t="s">
        <v>47</v>
      </c>
      <c r="E412" s="20" t="s">
        <v>92</v>
      </c>
      <c r="F412" s="20" t="s">
        <v>105</v>
      </c>
      <c r="G412" s="20" t="n">
        <v>2</v>
      </c>
      <c r="H412" s="20" t="s">
        <v>126</v>
      </c>
      <c r="I412" s="20" t="s">
        <v>50</v>
      </c>
    </row>
    <row r="413" customFormat="false" ht="15" hidden="false" customHeight="false" outlineLevel="0" collapsed="false">
      <c r="A413" s="20" t="s">
        <v>924</v>
      </c>
      <c r="B413" s="20" t="s">
        <v>866</v>
      </c>
      <c r="C413" s="20" t="s">
        <v>925</v>
      </c>
      <c r="D413" s="20" t="s">
        <v>59</v>
      </c>
      <c r="E413" s="20" t="s">
        <v>54</v>
      </c>
      <c r="F413" s="20" t="s">
        <v>55</v>
      </c>
      <c r="G413" s="20" t="n">
        <v>1</v>
      </c>
      <c r="H413" s="20" t="n">
        <v>38</v>
      </c>
      <c r="I413" s="20" t="s">
        <v>50</v>
      </c>
    </row>
    <row r="414" customFormat="false" ht="15" hidden="false" customHeight="false" outlineLevel="0" collapsed="false">
      <c r="A414" s="20" t="s">
        <v>926</v>
      </c>
      <c r="B414" s="20" t="s">
        <v>927</v>
      </c>
      <c r="C414" s="20" t="s">
        <v>125</v>
      </c>
      <c r="D414" s="20" t="s">
        <v>65</v>
      </c>
      <c r="E414" s="20" t="s">
        <v>54</v>
      </c>
      <c r="F414" s="20" t="s">
        <v>76</v>
      </c>
      <c r="G414" s="20" t="n">
        <v>2</v>
      </c>
      <c r="H414" s="20" t="n">
        <v>32</v>
      </c>
      <c r="I414" s="20" t="s">
        <v>50</v>
      </c>
    </row>
    <row r="415" customFormat="false" ht="15" hidden="false" customHeight="false" outlineLevel="0" collapsed="false">
      <c r="A415" s="20" t="s">
        <v>928</v>
      </c>
      <c r="B415" s="20" t="s">
        <v>929</v>
      </c>
      <c r="C415" s="20" t="s">
        <v>166</v>
      </c>
      <c r="D415" s="20" t="s">
        <v>59</v>
      </c>
      <c r="E415" s="20" t="s">
        <v>54</v>
      </c>
      <c r="F415" s="20" t="s">
        <v>55</v>
      </c>
      <c r="G415" s="20" t="n">
        <v>1</v>
      </c>
      <c r="H415" s="20" t="s">
        <v>259</v>
      </c>
      <c r="I415" s="20" t="s">
        <v>50</v>
      </c>
    </row>
    <row r="416" customFormat="false" ht="15" hidden="false" customHeight="false" outlineLevel="0" collapsed="false">
      <c r="A416" s="20" t="s">
        <v>930</v>
      </c>
      <c r="B416" s="20" t="s">
        <v>931</v>
      </c>
      <c r="C416" s="20" t="s">
        <v>192</v>
      </c>
      <c r="D416" s="20" t="s">
        <v>47</v>
      </c>
      <c r="E416" s="20" t="s">
        <v>372</v>
      </c>
      <c r="F416" s="20" t="s">
        <v>121</v>
      </c>
      <c r="G416" s="20" t="n">
        <v>1</v>
      </c>
      <c r="H416" s="20" t="s">
        <v>122</v>
      </c>
      <c r="I416" s="20" t="s">
        <v>199</v>
      </c>
    </row>
    <row r="417" customFormat="false" ht="15" hidden="false" customHeight="false" outlineLevel="0" collapsed="false">
      <c r="A417" s="20" t="s">
        <v>932</v>
      </c>
      <c r="B417" s="21" t="n">
        <v>45816</v>
      </c>
      <c r="C417" s="20" t="s">
        <v>447</v>
      </c>
      <c r="D417" s="20" t="s">
        <v>70</v>
      </c>
      <c r="E417" s="20" t="s">
        <v>81</v>
      </c>
      <c r="F417" s="20" t="s">
        <v>82</v>
      </c>
      <c r="G417" s="20" t="n">
        <v>2</v>
      </c>
      <c r="H417" s="20" t="n">
        <v>22</v>
      </c>
      <c r="I417" s="20" t="s">
        <v>50</v>
      </c>
    </row>
    <row r="418" customFormat="false" ht="15" hidden="false" customHeight="false" outlineLevel="0" collapsed="false">
      <c r="A418" s="20" t="s">
        <v>933</v>
      </c>
      <c r="B418" s="20" t="s">
        <v>646</v>
      </c>
      <c r="C418" s="20" t="s">
        <v>934</v>
      </c>
      <c r="D418" s="20" t="s">
        <v>47</v>
      </c>
      <c r="E418" s="20" t="s">
        <v>92</v>
      </c>
      <c r="F418" s="20" t="s">
        <v>105</v>
      </c>
      <c r="G418" s="20" t="n">
        <v>1</v>
      </c>
      <c r="H418" s="20" t="n">
        <v>49</v>
      </c>
      <c r="I418" s="20" t="s">
        <v>50</v>
      </c>
    </row>
    <row r="419" customFormat="false" ht="15" hidden="false" customHeight="false" outlineLevel="0" collapsed="false">
      <c r="A419" s="20" t="s">
        <v>935</v>
      </c>
      <c r="B419" s="20" t="s">
        <v>936</v>
      </c>
      <c r="C419" s="20" t="s">
        <v>592</v>
      </c>
      <c r="D419" s="20" t="s">
        <v>47</v>
      </c>
      <c r="E419" s="20" t="s">
        <v>228</v>
      </c>
      <c r="F419" s="20" t="s">
        <v>116</v>
      </c>
      <c r="G419" s="20" t="n">
        <v>3</v>
      </c>
      <c r="H419" s="20" t="s">
        <v>162</v>
      </c>
      <c r="I419" s="20" t="s">
        <v>50</v>
      </c>
    </row>
    <row r="420" customFormat="false" ht="15" hidden="false" customHeight="false" outlineLevel="0" collapsed="false">
      <c r="A420" s="20" t="s">
        <v>937</v>
      </c>
      <c r="B420" s="20" t="s">
        <v>938</v>
      </c>
      <c r="C420" s="20" t="s">
        <v>239</v>
      </c>
      <c r="D420" s="20" t="s">
        <v>65</v>
      </c>
      <c r="E420" s="20" t="s">
        <v>92</v>
      </c>
      <c r="F420" s="20" t="s">
        <v>196</v>
      </c>
      <c r="G420" s="20" t="n">
        <v>1</v>
      </c>
      <c r="H420" s="20" t="n">
        <v>89</v>
      </c>
      <c r="I420" s="20" t="s">
        <v>50</v>
      </c>
    </row>
    <row r="421" customFormat="false" ht="15" hidden="false" customHeight="false" outlineLevel="0" collapsed="false">
      <c r="A421" s="20" t="s">
        <v>939</v>
      </c>
      <c r="B421" s="20" t="s">
        <v>564</v>
      </c>
      <c r="C421" s="20" t="s">
        <v>286</v>
      </c>
      <c r="D421" s="20" t="s">
        <v>47</v>
      </c>
      <c r="E421" s="20" t="s">
        <v>207</v>
      </c>
      <c r="F421" s="20" t="s">
        <v>93</v>
      </c>
      <c r="G421" s="20" t="n">
        <v>2</v>
      </c>
      <c r="H421" s="20" t="n">
        <v>15</v>
      </c>
      <c r="I421" s="20" t="s">
        <v>199</v>
      </c>
    </row>
    <row r="422" customFormat="false" ht="15" hidden="false" customHeight="false" outlineLevel="0" collapsed="false">
      <c r="A422" s="20" t="s">
        <v>940</v>
      </c>
      <c r="B422" s="20" t="s">
        <v>396</v>
      </c>
      <c r="C422" s="20" t="s">
        <v>104</v>
      </c>
      <c r="D422" s="20" t="s">
        <v>47</v>
      </c>
      <c r="E422" s="20" t="s">
        <v>728</v>
      </c>
      <c r="F422" s="20" t="s">
        <v>196</v>
      </c>
      <c r="G422" s="20" t="n">
        <v>2</v>
      </c>
      <c r="H422" s="20" t="n">
        <v>89</v>
      </c>
      <c r="I422" s="20" t="s">
        <v>50</v>
      </c>
    </row>
    <row r="423" customFormat="false" ht="15" hidden="false" customHeight="false" outlineLevel="0" collapsed="false">
      <c r="A423" s="20" t="s">
        <v>941</v>
      </c>
      <c r="B423" s="20" t="s">
        <v>942</v>
      </c>
      <c r="C423" s="20" t="s">
        <v>108</v>
      </c>
      <c r="D423" s="20" t="s">
        <v>171</v>
      </c>
      <c r="E423" s="20" t="s">
        <v>81</v>
      </c>
      <c r="F423" s="20" t="s">
        <v>67</v>
      </c>
      <c r="G423" s="20" t="n">
        <v>1</v>
      </c>
      <c r="H423" s="20" t="n">
        <v>45</v>
      </c>
      <c r="I423" s="20" t="s">
        <v>50</v>
      </c>
    </row>
    <row r="424" customFormat="false" ht="15" hidden="false" customHeight="false" outlineLevel="0" collapsed="false">
      <c r="A424" s="20" t="s">
        <v>943</v>
      </c>
      <c r="B424" s="20" t="s">
        <v>944</v>
      </c>
      <c r="C424" s="20" t="s">
        <v>464</v>
      </c>
      <c r="D424" s="20" t="s">
        <v>109</v>
      </c>
      <c r="E424" s="20" t="s">
        <v>81</v>
      </c>
      <c r="F424" s="20" t="s">
        <v>67</v>
      </c>
      <c r="G424" s="20" t="n">
        <v>1</v>
      </c>
      <c r="H424" s="20" t="n">
        <v>45</v>
      </c>
      <c r="I424" s="20" t="s">
        <v>50</v>
      </c>
    </row>
    <row r="425" customFormat="false" ht="15" hidden="false" customHeight="false" outlineLevel="0" collapsed="false">
      <c r="A425" s="20" t="s">
        <v>420</v>
      </c>
      <c r="B425" s="20" t="s">
        <v>421</v>
      </c>
      <c r="C425" s="20" t="s">
        <v>422</v>
      </c>
      <c r="D425" s="20" t="s">
        <v>70</v>
      </c>
      <c r="E425" s="20" t="s">
        <v>92</v>
      </c>
      <c r="F425" s="20" t="s">
        <v>93</v>
      </c>
      <c r="G425" s="20" t="n">
        <v>2</v>
      </c>
      <c r="H425" s="20" t="s">
        <v>94</v>
      </c>
      <c r="I425" s="20" t="s">
        <v>136</v>
      </c>
    </row>
    <row r="426" customFormat="false" ht="15" hidden="false" customHeight="false" outlineLevel="0" collapsed="false">
      <c r="A426" s="20" t="s">
        <v>945</v>
      </c>
      <c r="B426" s="21" t="n">
        <v>45818</v>
      </c>
      <c r="C426" s="20" t="s">
        <v>437</v>
      </c>
      <c r="D426" s="20" t="s">
        <v>59</v>
      </c>
      <c r="E426" s="20" t="s">
        <v>54</v>
      </c>
      <c r="F426" s="20" t="s">
        <v>72</v>
      </c>
      <c r="G426" s="20" t="n">
        <v>3</v>
      </c>
      <c r="H426" s="20" t="n">
        <v>24</v>
      </c>
      <c r="I426" s="20" t="s">
        <v>50</v>
      </c>
    </row>
    <row r="427" customFormat="false" ht="15" hidden="false" customHeight="false" outlineLevel="0" collapsed="false">
      <c r="A427" s="20" t="s">
        <v>946</v>
      </c>
      <c r="B427" s="20" t="s">
        <v>947</v>
      </c>
      <c r="C427" s="20"/>
      <c r="D427" s="20" t="s">
        <v>47</v>
      </c>
      <c r="E427" s="20" t="s">
        <v>81</v>
      </c>
      <c r="F427" s="20" t="s">
        <v>82</v>
      </c>
      <c r="G427" s="20" t="n">
        <v>2</v>
      </c>
      <c r="H427" s="20" t="n">
        <v>22</v>
      </c>
      <c r="I427" s="20" t="s">
        <v>50</v>
      </c>
    </row>
    <row r="428" customFormat="false" ht="15" hidden="false" customHeight="false" outlineLevel="0" collapsed="false">
      <c r="A428" s="20" t="s">
        <v>948</v>
      </c>
      <c r="B428" s="20" t="s">
        <v>949</v>
      </c>
      <c r="C428" s="20" t="s">
        <v>826</v>
      </c>
      <c r="D428" s="20" t="s">
        <v>47</v>
      </c>
      <c r="E428" s="20" t="s">
        <v>92</v>
      </c>
      <c r="F428" s="20" t="s">
        <v>93</v>
      </c>
      <c r="G428" s="20" t="n">
        <v>1</v>
      </c>
      <c r="H428" s="20" t="n">
        <v>15</v>
      </c>
      <c r="I428" s="20" t="s">
        <v>112</v>
      </c>
    </row>
    <row r="429" customFormat="false" ht="15" hidden="false" customHeight="false" outlineLevel="0" collapsed="false">
      <c r="A429" s="20" t="s">
        <v>950</v>
      </c>
      <c r="B429" s="21" t="n">
        <v>45866</v>
      </c>
      <c r="C429" s="20"/>
      <c r="D429" s="20" t="s">
        <v>59</v>
      </c>
      <c r="E429" s="20" t="s">
        <v>297</v>
      </c>
      <c r="F429" s="20" t="s">
        <v>121</v>
      </c>
      <c r="G429" s="20" t="n">
        <v>2</v>
      </c>
      <c r="H429" s="20" t="s">
        <v>122</v>
      </c>
      <c r="I429" s="20" t="s">
        <v>50</v>
      </c>
    </row>
    <row r="430" customFormat="false" ht="15" hidden="false" customHeight="false" outlineLevel="0" collapsed="false">
      <c r="A430" s="20" t="s">
        <v>951</v>
      </c>
      <c r="B430" s="20" t="s">
        <v>952</v>
      </c>
      <c r="C430" s="20" t="s">
        <v>269</v>
      </c>
      <c r="D430" s="20" t="s">
        <v>157</v>
      </c>
      <c r="E430" s="20" t="s">
        <v>54</v>
      </c>
      <c r="F430" s="20" t="s">
        <v>76</v>
      </c>
      <c r="G430" s="20" t="n">
        <v>1</v>
      </c>
      <c r="H430" s="20" t="n">
        <v>32</v>
      </c>
      <c r="I430" s="20" t="s">
        <v>50</v>
      </c>
    </row>
    <row r="431" customFormat="false" ht="15" hidden="false" customHeight="false" outlineLevel="0" collapsed="false">
      <c r="A431" s="20" t="s">
        <v>953</v>
      </c>
      <c r="B431" s="20" t="s">
        <v>840</v>
      </c>
      <c r="C431" s="20" t="s">
        <v>286</v>
      </c>
      <c r="D431" s="20" t="s">
        <v>65</v>
      </c>
      <c r="E431" s="20" t="s">
        <v>54</v>
      </c>
      <c r="F431" s="20" t="s">
        <v>76</v>
      </c>
      <c r="G431" s="20" t="n">
        <v>1</v>
      </c>
      <c r="H431" s="20" t="n">
        <v>32</v>
      </c>
      <c r="I431" s="20" t="s">
        <v>50</v>
      </c>
    </row>
    <row r="432" customFormat="false" ht="15" hidden="false" customHeight="false" outlineLevel="0" collapsed="false">
      <c r="A432" s="20" t="s">
        <v>954</v>
      </c>
      <c r="B432" s="21" t="n">
        <v>45954</v>
      </c>
      <c r="C432" s="20" t="s">
        <v>186</v>
      </c>
      <c r="D432" s="20" t="s">
        <v>109</v>
      </c>
      <c r="E432" s="20" t="s">
        <v>54</v>
      </c>
      <c r="F432" s="20" t="s">
        <v>55</v>
      </c>
      <c r="G432" s="20" t="n">
        <v>1</v>
      </c>
      <c r="H432" s="20" t="n">
        <v>38</v>
      </c>
      <c r="I432" s="20" t="s">
        <v>136</v>
      </c>
    </row>
    <row r="433" customFormat="false" ht="15" hidden="false" customHeight="false" outlineLevel="0" collapsed="false">
      <c r="A433" s="20" t="s">
        <v>955</v>
      </c>
      <c r="B433" s="21" t="n">
        <v>45778</v>
      </c>
      <c r="C433" s="20" t="s">
        <v>934</v>
      </c>
      <c r="D433" s="20" t="s">
        <v>70</v>
      </c>
      <c r="E433" s="20" t="s">
        <v>505</v>
      </c>
      <c r="F433" s="20" t="s">
        <v>144</v>
      </c>
      <c r="G433" s="20" t="n">
        <v>1</v>
      </c>
      <c r="H433" s="20" t="n">
        <v>54</v>
      </c>
      <c r="I433" s="20" t="s">
        <v>50</v>
      </c>
    </row>
    <row r="434" customFormat="false" ht="15" hidden="false" customHeight="false" outlineLevel="0" collapsed="false">
      <c r="A434" s="20" t="s">
        <v>956</v>
      </c>
      <c r="B434" s="20" t="s">
        <v>957</v>
      </c>
      <c r="C434" s="20" t="s">
        <v>192</v>
      </c>
      <c r="D434" s="20" t="s">
        <v>59</v>
      </c>
      <c r="E434" s="20" t="s">
        <v>54</v>
      </c>
      <c r="F434" s="20" t="s">
        <v>55</v>
      </c>
      <c r="G434" s="20" t="n">
        <v>2</v>
      </c>
      <c r="H434" s="20" t="s">
        <v>259</v>
      </c>
      <c r="I434" s="20" t="s">
        <v>50</v>
      </c>
    </row>
    <row r="435" customFormat="false" ht="15" hidden="false" customHeight="false" outlineLevel="0" collapsed="false">
      <c r="A435" s="20" t="s">
        <v>958</v>
      </c>
      <c r="B435" s="20" t="s">
        <v>959</v>
      </c>
      <c r="C435" s="20" t="s">
        <v>344</v>
      </c>
      <c r="D435" s="20" t="s">
        <v>47</v>
      </c>
      <c r="E435" s="20" t="s">
        <v>81</v>
      </c>
      <c r="F435" s="20" t="s">
        <v>61</v>
      </c>
      <c r="G435" s="20" t="n">
        <v>1</v>
      </c>
      <c r="H435" s="20" t="n">
        <v>35</v>
      </c>
      <c r="I435" s="20" t="s">
        <v>50</v>
      </c>
    </row>
    <row r="436" customFormat="false" ht="15" hidden="false" customHeight="false" outlineLevel="0" collapsed="false">
      <c r="A436" s="20" t="s">
        <v>960</v>
      </c>
      <c r="B436" s="20" t="s">
        <v>961</v>
      </c>
      <c r="C436" s="20" t="s">
        <v>457</v>
      </c>
      <c r="D436" s="20" t="s">
        <v>65</v>
      </c>
      <c r="E436" s="20" t="s">
        <v>372</v>
      </c>
      <c r="F436" s="20" t="s">
        <v>121</v>
      </c>
      <c r="G436" s="20" t="n">
        <v>1</v>
      </c>
      <c r="H436" s="20" t="n">
        <v>21</v>
      </c>
      <c r="I436" s="20" t="s">
        <v>50</v>
      </c>
    </row>
    <row r="437" customFormat="false" ht="15" hidden="false" customHeight="false" outlineLevel="0" collapsed="false">
      <c r="A437" s="20" t="s">
        <v>962</v>
      </c>
      <c r="B437" s="20" t="s">
        <v>963</v>
      </c>
      <c r="C437" s="20" t="s">
        <v>296</v>
      </c>
      <c r="D437" s="20" t="s">
        <v>47</v>
      </c>
      <c r="E437" s="20" t="s">
        <v>54</v>
      </c>
      <c r="F437" s="20" t="s">
        <v>76</v>
      </c>
      <c r="G437" s="20" t="n">
        <v>3</v>
      </c>
      <c r="H437" s="20" t="n">
        <v>32</v>
      </c>
      <c r="I437" s="20" t="s">
        <v>50</v>
      </c>
    </row>
    <row r="438" customFormat="false" ht="15" hidden="false" customHeight="false" outlineLevel="0" collapsed="false">
      <c r="A438" s="20" t="s">
        <v>964</v>
      </c>
      <c r="B438" s="20" t="s">
        <v>965</v>
      </c>
      <c r="C438" s="20" t="s">
        <v>166</v>
      </c>
      <c r="D438" s="20" t="s">
        <v>47</v>
      </c>
      <c r="E438" s="20" t="s">
        <v>92</v>
      </c>
      <c r="F438" s="20" t="s">
        <v>196</v>
      </c>
      <c r="G438" s="20" t="n">
        <v>1</v>
      </c>
      <c r="H438" s="20" t="s">
        <v>220</v>
      </c>
      <c r="I438" s="20" t="s">
        <v>50</v>
      </c>
    </row>
    <row r="439" customFormat="false" ht="15" hidden="false" customHeight="false" outlineLevel="0" collapsed="false">
      <c r="A439" s="20" t="s">
        <v>966</v>
      </c>
      <c r="B439" s="20" t="s">
        <v>967</v>
      </c>
      <c r="C439" s="20" t="s">
        <v>210</v>
      </c>
      <c r="D439" s="20" t="s">
        <v>59</v>
      </c>
      <c r="E439" s="20" t="s">
        <v>48</v>
      </c>
      <c r="F439" s="20" t="s">
        <v>116</v>
      </c>
      <c r="G439" s="20" t="n">
        <v>1</v>
      </c>
      <c r="H439" s="20" t="n">
        <v>28</v>
      </c>
      <c r="I439" s="20" t="s">
        <v>50</v>
      </c>
    </row>
    <row r="440" customFormat="false" ht="15" hidden="false" customHeight="false" outlineLevel="0" collapsed="false">
      <c r="A440" s="20" t="s">
        <v>968</v>
      </c>
      <c r="B440" s="20" t="s">
        <v>969</v>
      </c>
      <c r="C440" s="20" t="s">
        <v>431</v>
      </c>
      <c r="D440" s="20" t="s">
        <v>47</v>
      </c>
      <c r="E440" s="20" t="s">
        <v>71</v>
      </c>
      <c r="F440" s="20" t="s">
        <v>76</v>
      </c>
      <c r="G440" s="20" t="n">
        <v>3</v>
      </c>
      <c r="H440" s="20" t="s">
        <v>77</v>
      </c>
      <c r="I440" s="20" t="s">
        <v>50</v>
      </c>
    </row>
    <row r="441" customFormat="false" ht="15" hidden="false" customHeight="false" outlineLevel="0" collapsed="false">
      <c r="A441" s="20" t="s">
        <v>970</v>
      </c>
      <c r="B441" s="20" t="s">
        <v>971</v>
      </c>
      <c r="C441" s="20" t="s">
        <v>494</v>
      </c>
      <c r="D441" s="20" t="s">
        <v>70</v>
      </c>
      <c r="E441" s="20" t="s">
        <v>81</v>
      </c>
      <c r="F441" s="20" t="s">
        <v>67</v>
      </c>
      <c r="G441" s="20" t="n">
        <v>2</v>
      </c>
      <c r="H441" s="20" t="s">
        <v>135</v>
      </c>
      <c r="I441" s="20" t="s">
        <v>50</v>
      </c>
    </row>
    <row r="442" customFormat="false" ht="15" hidden="false" customHeight="false" outlineLevel="0" collapsed="false">
      <c r="A442" s="20" t="s">
        <v>972</v>
      </c>
      <c r="B442" s="20" t="s">
        <v>441</v>
      </c>
      <c r="C442" s="20" t="s">
        <v>75</v>
      </c>
      <c r="D442" s="20" t="s">
        <v>47</v>
      </c>
      <c r="E442" s="20" t="s">
        <v>81</v>
      </c>
      <c r="F442" s="20" t="s">
        <v>82</v>
      </c>
      <c r="G442" s="20" t="n">
        <v>2</v>
      </c>
      <c r="H442" s="20" t="n">
        <v>22</v>
      </c>
      <c r="I442" s="20" t="s">
        <v>163</v>
      </c>
    </row>
    <row r="443" customFormat="false" ht="15" hidden="false" customHeight="false" outlineLevel="0" collapsed="false">
      <c r="A443" s="20" t="s">
        <v>973</v>
      </c>
      <c r="B443" s="20" t="s">
        <v>974</v>
      </c>
      <c r="C443" s="20" t="s">
        <v>557</v>
      </c>
      <c r="D443" s="20" t="s">
        <v>70</v>
      </c>
      <c r="E443" s="20" t="s">
        <v>54</v>
      </c>
      <c r="F443" s="20" t="s">
        <v>76</v>
      </c>
      <c r="G443" s="20" t="n">
        <v>1</v>
      </c>
      <c r="H443" s="20" t="n">
        <v>32</v>
      </c>
      <c r="I443" s="20" t="s">
        <v>163</v>
      </c>
    </row>
    <row r="444" customFormat="false" ht="15" hidden="false" customHeight="false" outlineLevel="0" collapsed="false">
      <c r="A444" s="20" t="s">
        <v>655</v>
      </c>
      <c r="B444" s="20" t="s">
        <v>656</v>
      </c>
      <c r="C444" s="20" t="s">
        <v>278</v>
      </c>
      <c r="D444" s="20" t="s">
        <v>70</v>
      </c>
      <c r="E444" s="20" t="s">
        <v>81</v>
      </c>
      <c r="F444" s="20" t="s">
        <v>61</v>
      </c>
      <c r="G444" s="20" t="n">
        <v>1</v>
      </c>
      <c r="H444" s="20" t="n">
        <v>35</v>
      </c>
      <c r="I444" s="20" t="s">
        <v>50</v>
      </c>
    </row>
    <row r="445" customFormat="false" ht="15" hidden="false" customHeight="false" outlineLevel="0" collapsed="false">
      <c r="A445" s="20" t="s">
        <v>975</v>
      </c>
      <c r="B445" s="20" t="s">
        <v>976</v>
      </c>
      <c r="C445" s="20" t="s">
        <v>624</v>
      </c>
      <c r="D445" s="20" t="s">
        <v>109</v>
      </c>
      <c r="E445" s="20" t="s">
        <v>48</v>
      </c>
      <c r="F445" s="20" t="s">
        <v>144</v>
      </c>
      <c r="G445" s="20" t="n">
        <v>1</v>
      </c>
      <c r="H445" s="20" t="n">
        <v>54</v>
      </c>
      <c r="I445" s="20" t="s">
        <v>112</v>
      </c>
    </row>
    <row r="446" customFormat="false" ht="15" hidden="false" customHeight="false" outlineLevel="0" collapsed="false">
      <c r="A446" s="20" t="s">
        <v>977</v>
      </c>
      <c r="B446" s="21" t="n">
        <v>45875</v>
      </c>
      <c r="C446" s="20" t="s">
        <v>494</v>
      </c>
      <c r="D446" s="20" t="s">
        <v>47</v>
      </c>
      <c r="E446" s="20" t="s">
        <v>101</v>
      </c>
      <c r="F446" s="20" t="s">
        <v>116</v>
      </c>
      <c r="G446" s="20" t="n">
        <v>2</v>
      </c>
      <c r="H446" s="20" t="n">
        <v>28</v>
      </c>
      <c r="I446" s="20" t="s">
        <v>112</v>
      </c>
    </row>
    <row r="447" customFormat="false" ht="15" hidden="false" customHeight="false" outlineLevel="0" collapsed="false">
      <c r="A447" s="20" t="s">
        <v>978</v>
      </c>
      <c r="B447" s="20" t="s">
        <v>979</v>
      </c>
      <c r="C447" s="20" t="s">
        <v>323</v>
      </c>
      <c r="D447" s="20" t="s">
        <v>65</v>
      </c>
      <c r="E447" s="20" t="s">
        <v>110</v>
      </c>
      <c r="F447" s="20" t="s">
        <v>111</v>
      </c>
      <c r="G447" s="20" t="n">
        <v>1</v>
      </c>
      <c r="H447" s="20" t="n">
        <v>16</v>
      </c>
      <c r="I447" s="20" t="s">
        <v>50</v>
      </c>
    </row>
    <row r="448" customFormat="false" ht="15" hidden="false" customHeight="false" outlineLevel="0" collapsed="false">
      <c r="A448" s="20" t="s">
        <v>980</v>
      </c>
      <c r="B448" s="20" t="s">
        <v>582</v>
      </c>
      <c r="C448" s="20" t="s">
        <v>272</v>
      </c>
      <c r="D448" s="20" t="s">
        <v>109</v>
      </c>
      <c r="E448" s="20" t="s">
        <v>292</v>
      </c>
      <c r="F448" s="20" t="s">
        <v>72</v>
      </c>
      <c r="G448" s="20" t="n">
        <v>3</v>
      </c>
      <c r="H448" s="20" t="n">
        <v>24</v>
      </c>
      <c r="I448" s="20" t="s">
        <v>50</v>
      </c>
    </row>
    <row r="449" customFormat="false" ht="15" hidden="false" customHeight="false" outlineLevel="0" collapsed="false">
      <c r="A449" s="20" t="s">
        <v>981</v>
      </c>
      <c r="B449" s="20" t="s">
        <v>982</v>
      </c>
      <c r="C449" s="20" t="s">
        <v>983</v>
      </c>
      <c r="D449" s="20" t="s">
        <v>157</v>
      </c>
      <c r="E449" s="20" t="s">
        <v>81</v>
      </c>
      <c r="F449" s="20" t="s">
        <v>67</v>
      </c>
      <c r="G449" s="20" t="n">
        <v>1</v>
      </c>
      <c r="H449" s="20" t="n">
        <v>45</v>
      </c>
      <c r="I449" s="20" t="s">
        <v>50</v>
      </c>
    </row>
    <row r="450" customFormat="false" ht="15" hidden="false" customHeight="false" outlineLevel="0" collapsed="false">
      <c r="A450" s="20" t="s">
        <v>984</v>
      </c>
      <c r="B450" s="21" t="n">
        <v>45928</v>
      </c>
      <c r="C450" s="20" t="s">
        <v>392</v>
      </c>
      <c r="D450" s="20" t="s">
        <v>47</v>
      </c>
      <c r="E450" s="20" t="s">
        <v>81</v>
      </c>
      <c r="F450" s="20" t="s">
        <v>82</v>
      </c>
      <c r="G450" s="20" t="n">
        <v>1</v>
      </c>
      <c r="H450" s="20" t="n">
        <v>22</v>
      </c>
      <c r="I450" s="20" t="s">
        <v>50</v>
      </c>
    </row>
    <row r="451" customFormat="false" ht="15" hidden="false" customHeight="false" outlineLevel="0" collapsed="false">
      <c r="A451" s="20" t="s">
        <v>985</v>
      </c>
      <c r="B451" s="20" t="s">
        <v>986</v>
      </c>
      <c r="C451" s="20" t="s">
        <v>486</v>
      </c>
      <c r="D451" s="20" t="s">
        <v>47</v>
      </c>
      <c r="E451" s="20" t="s">
        <v>54</v>
      </c>
      <c r="F451" s="20" t="s">
        <v>55</v>
      </c>
      <c r="G451" s="20" t="n">
        <v>2</v>
      </c>
      <c r="H451" s="20" t="n">
        <v>38</v>
      </c>
      <c r="I451" s="20" t="s">
        <v>163</v>
      </c>
    </row>
    <row r="452" customFormat="false" ht="15" hidden="false" customHeight="false" outlineLevel="0" collapsed="false">
      <c r="A452" s="20" t="s">
        <v>987</v>
      </c>
      <c r="B452" s="21" t="n">
        <v>45753</v>
      </c>
      <c r="C452" s="20"/>
      <c r="D452" s="20" t="s">
        <v>65</v>
      </c>
      <c r="E452" s="20" t="s">
        <v>167</v>
      </c>
      <c r="F452" s="20" t="s">
        <v>72</v>
      </c>
      <c r="G452" s="20" t="n">
        <v>2</v>
      </c>
      <c r="H452" s="20" t="s">
        <v>293</v>
      </c>
      <c r="I452" s="20" t="s">
        <v>50</v>
      </c>
    </row>
    <row r="453" customFormat="false" ht="15" hidden="false" customHeight="false" outlineLevel="0" collapsed="false">
      <c r="A453" s="20" t="s">
        <v>988</v>
      </c>
      <c r="B453" s="20" t="s">
        <v>989</v>
      </c>
      <c r="C453" s="20" t="s">
        <v>476</v>
      </c>
      <c r="D453" s="20" t="s">
        <v>59</v>
      </c>
      <c r="E453" s="20" t="s">
        <v>110</v>
      </c>
      <c r="F453" s="20" t="s">
        <v>121</v>
      </c>
      <c r="G453" s="20" t="n">
        <v>2</v>
      </c>
      <c r="H453" s="20" t="n">
        <v>21</v>
      </c>
      <c r="I453" s="20" t="s">
        <v>50</v>
      </c>
    </row>
    <row r="454" customFormat="false" ht="15" hidden="false" customHeight="false" outlineLevel="0" collapsed="false">
      <c r="A454" s="20" t="s">
        <v>990</v>
      </c>
      <c r="B454" s="20" t="s">
        <v>991</v>
      </c>
      <c r="C454" s="20" t="s">
        <v>306</v>
      </c>
      <c r="D454" s="20" t="s">
        <v>47</v>
      </c>
      <c r="E454" s="20" t="s">
        <v>110</v>
      </c>
      <c r="F454" s="20" t="s">
        <v>121</v>
      </c>
      <c r="G454" s="20" t="n">
        <v>1</v>
      </c>
      <c r="H454" s="20" t="n">
        <v>21</v>
      </c>
      <c r="I454" s="20" t="s">
        <v>50</v>
      </c>
    </row>
    <row r="455" customFormat="false" ht="15" hidden="false" customHeight="false" outlineLevel="0" collapsed="false">
      <c r="A455" s="20" t="s">
        <v>992</v>
      </c>
      <c r="B455" s="20" t="s">
        <v>738</v>
      </c>
      <c r="C455" s="20" t="s">
        <v>801</v>
      </c>
      <c r="D455" s="20" t="s">
        <v>65</v>
      </c>
      <c r="E455" s="20" t="s">
        <v>92</v>
      </c>
      <c r="F455" s="20" t="s">
        <v>93</v>
      </c>
      <c r="G455" s="20" t="n">
        <v>1</v>
      </c>
      <c r="H455" s="20" t="s">
        <v>94</v>
      </c>
      <c r="I455" s="20" t="s">
        <v>112</v>
      </c>
    </row>
    <row r="456" customFormat="false" ht="15" hidden="false" customHeight="false" outlineLevel="0" collapsed="false">
      <c r="A456" s="20" t="s">
        <v>993</v>
      </c>
      <c r="B456" s="21" t="n">
        <v>45712</v>
      </c>
      <c r="C456" s="20" t="s">
        <v>147</v>
      </c>
      <c r="D456" s="20" t="s">
        <v>47</v>
      </c>
      <c r="E456" s="20" t="s">
        <v>48</v>
      </c>
      <c r="F456" s="20" t="s">
        <v>49</v>
      </c>
      <c r="G456" s="20" t="n">
        <v>1</v>
      </c>
      <c r="H456" s="20" t="n">
        <v>18</v>
      </c>
      <c r="I456" s="20" t="s">
        <v>50</v>
      </c>
    </row>
    <row r="457" customFormat="false" ht="15" hidden="false" customHeight="false" outlineLevel="0" collapsed="false">
      <c r="A457" s="20" t="s">
        <v>994</v>
      </c>
      <c r="B457" s="20" t="s">
        <v>480</v>
      </c>
      <c r="C457" s="20" t="s">
        <v>557</v>
      </c>
      <c r="D457" s="20" t="s">
        <v>87</v>
      </c>
      <c r="E457" s="20" t="s">
        <v>48</v>
      </c>
      <c r="F457" s="20" t="s">
        <v>144</v>
      </c>
      <c r="G457" s="20" t="n">
        <v>1</v>
      </c>
      <c r="H457" s="20" t="n">
        <v>54</v>
      </c>
      <c r="I457" s="20" t="s">
        <v>50</v>
      </c>
    </row>
    <row r="458" customFormat="false" ht="15" hidden="false" customHeight="false" outlineLevel="0" collapsed="false">
      <c r="A458" s="20" t="s">
        <v>995</v>
      </c>
      <c r="B458" s="20" t="s">
        <v>996</v>
      </c>
      <c r="C458" s="20" t="s">
        <v>573</v>
      </c>
      <c r="D458" s="20" t="s">
        <v>47</v>
      </c>
      <c r="E458" s="20" t="s">
        <v>92</v>
      </c>
      <c r="F458" s="20" t="s">
        <v>93</v>
      </c>
      <c r="G458" s="20" t="n">
        <v>2</v>
      </c>
      <c r="H458" s="20" t="s">
        <v>94</v>
      </c>
      <c r="I458" s="20" t="s">
        <v>50</v>
      </c>
    </row>
    <row r="459" customFormat="false" ht="15" hidden="false" customHeight="false" outlineLevel="0" collapsed="false">
      <c r="A459" s="20" t="s">
        <v>907</v>
      </c>
      <c r="B459" s="20" t="s">
        <v>96</v>
      </c>
      <c r="C459" s="20" t="s">
        <v>387</v>
      </c>
      <c r="D459" s="20" t="s">
        <v>109</v>
      </c>
      <c r="E459" s="20" t="s">
        <v>81</v>
      </c>
      <c r="F459" s="20" t="s">
        <v>82</v>
      </c>
      <c r="G459" s="20" t="n">
        <v>2</v>
      </c>
      <c r="H459" s="20" t="n">
        <v>22</v>
      </c>
      <c r="I459" s="20" t="s">
        <v>50</v>
      </c>
    </row>
    <row r="460" customFormat="false" ht="15" hidden="false" customHeight="false" outlineLevel="0" collapsed="false">
      <c r="A460" s="20" t="s">
        <v>235</v>
      </c>
      <c r="B460" s="21" t="n">
        <v>45781</v>
      </c>
      <c r="C460" s="20" t="s">
        <v>210</v>
      </c>
      <c r="D460" s="20" t="s">
        <v>47</v>
      </c>
      <c r="E460" s="20" t="s">
        <v>110</v>
      </c>
      <c r="F460" s="20" t="s">
        <v>236</v>
      </c>
      <c r="G460" s="20" t="n">
        <v>2</v>
      </c>
      <c r="H460" s="20" t="n">
        <v>30</v>
      </c>
      <c r="I460" s="20" t="s">
        <v>50</v>
      </c>
    </row>
    <row r="461" customFormat="false" ht="15" hidden="false" customHeight="false" outlineLevel="0" collapsed="false">
      <c r="A461" s="20" t="s">
        <v>997</v>
      </c>
      <c r="B461" s="20" t="s">
        <v>998</v>
      </c>
      <c r="C461" s="20" t="s">
        <v>125</v>
      </c>
      <c r="D461" s="20" t="s">
        <v>70</v>
      </c>
      <c r="E461" s="20" t="s">
        <v>54</v>
      </c>
      <c r="F461" s="20" t="s">
        <v>55</v>
      </c>
      <c r="G461" s="20" t="n">
        <v>1</v>
      </c>
      <c r="H461" s="20" t="n">
        <v>38</v>
      </c>
      <c r="I461" s="20" t="s">
        <v>50</v>
      </c>
    </row>
    <row r="462" customFormat="false" ht="15" hidden="false" customHeight="false" outlineLevel="0" collapsed="false">
      <c r="A462" s="20" t="s">
        <v>999</v>
      </c>
      <c r="B462" s="20" t="s">
        <v>1000</v>
      </c>
      <c r="C462" s="20" t="s">
        <v>1001</v>
      </c>
      <c r="D462" s="20" t="s">
        <v>59</v>
      </c>
      <c r="E462" s="20" t="s">
        <v>48</v>
      </c>
      <c r="F462" s="20" t="s">
        <v>49</v>
      </c>
      <c r="G462" s="20" t="n">
        <v>2</v>
      </c>
      <c r="H462" s="20" t="s">
        <v>180</v>
      </c>
      <c r="I462" s="20" t="s">
        <v>50</v>
      </c>
    </row>
    <row r="463" customFormat="false" ht="15" hidden="false" customHeight="false" outlineLevel="0" collapsed="false">
      <c r="A463" s="20" t="s">
        <v>1002</v>
      </c>
      <c r="B463" s="20" t="s">
        <v>1003</v>
      </c>
      <c r="C463" s="20" t="s">
        <v>195</v>
      </c>
      <c r="D463" s="20" t="s">
        <v>47</v>
      </c>
      <c r="E463" s="20" t="s">
        <v>48</v>
      </c>
      <c r="F463" s="20" t="s">
        <v>116</v>
      </c>
      <c r="G463" s="20" t="n">
        <v>1</v>
      </c>
      <c r="H463" s="20" t="n">
        <v>28</v>
      </c>
      <c r="I463" s="20" t="s">
        <v>50</v>
      </c>
    </row>
    <row r="464" customFormat="false" ht="15" hidden="false" customHeight="false" outlineLevel="0" collapsed="false">
      <c r="A464" s="20" t="s">
        <v>1004</v>
      </c>
      <c r="B464" s="20" t="s">
        <v>1005</v>
      </c>
      <c r="C464" s="20" t="s">
        <v>64</v>
      </c>
      <c r="D464" s="20" t="s">
        <v>70</v>
      </c>
      <c r="E464" s="20" t="s">
        <v>60</v>
      </c>
      <c r="F464" s="20" t="s">
        <v>67</v>
      </c>
      <c r="G464" s="20" t="n">
        <v>1</v>
      </c>
      <c r="H464" s="20" t="s">
        <v>135</v>
      </c>
      <c r="I464" s="20" t="s">
        <v>50</v>
      </c>
    </row>
    <row r="465" customFormat="false" ht="15" hidden="false" customHeight="false" outlineLevel="0" collapsed="false">
      <c r="A465" s="20" t="s">
        <v>1006</v>
      </c>
      <c r="B465" s="20" t="s">
        <v>1007</v>
      </c>
      <c r="C465" s="20" t="s">
        <v>1008</v>
      </c>
      <c r="D465" s="20" t="s">
        <v>47</v>
      </c>
      <c r="E465" s="20" t="s">
        <v>110</v>
      </c>
      <c r="F465" s="20" t="s">
        <v>111</v>
      </c>
      <c r="G465" s="20" t="n">
        <v>2</v>
      </c>
      <c r="H465" s="20" t="n">
        <v>16</v>
      </c>
      <c r="I465" s="20" t="s">
        <v>50</v>
      </c>
    </row>
    <row r="466" customFormat="false" ht="15" hidden="false" customHeight="false" outlineLevel="0" collapsed="false">
      <c r="A466" s="20" t="s">
        <v>1009</v>
      </c>
      <c r="B466" s="21" t="n">
        <v>45989</v>
      </c>
      <c r="C466" s="20" t="s">
        <v>1010</v>
      </c>
      <c r="D466" s="20" t="s">
        <v>282</v>
      </c>
      <c r="E466" s="20" t="s">
        <v>48</v>
      </c>
      <c r="F466" s="20" t="s">
        <v>144</v>
      </c>
      <c r="G466" s="20" t="n">
        <v>1</v>
      </c>
      <c r="H466" s="20" t="n">
        <v>54</v>
      </c>
      <c r="I466" s="20" t="s">
        <v>50</v>
      </c>
    </row>
    <row r="467" customFormat="false" ht="15" hidden="false" customHeight="false" outlineLevel="0" collapsed="false">
      <c r="A467" s="20" t="s">
        <v>1011</v>
      </c>
      <c r="B467" s="20" t="s">
        <v>961</v>
      </c>
      <c r="C467" s="20" t="s">
        <v>380</v>
      </c>
      <c r="D467" s="20" t="s">
        <v>47</v>
      </c>
      <c r="E467" s="20" t="s">
        <v>54</v>
      </c>
      <c r="F467" s="20" t="s">
        <v>76</v>
      </c>
      <c r="G467" s="20" t="n">
        <v>2</v>
      </c>
      <c r="H467" s="20" t="n">
        <v>32</v>
      </c>
      <c r="I467" s="20" t="s">
        <v>50</v>
      </c>
    </row>
    <row r="468" customFormat="false" ht="15" hidden="false" customHeight="false" outlineLevel="0" collapsed="false">
      <c r="A468" s="20" t="s">
        <v>1012</v>
      </c>
      <c r="B468" s="21" t="n">
        <v>45986</v>
      </c>
      <c r="C468" s="20" t="s">
        <v>1013</v>
      </c>
      <c r="D468" s="20" t="s">
        <v>1014</v>
      </c>
      <c r="E468" s="20" t="s">
        <v>54</v>
      </c>
      <c r="F468" s="20" t="s">
        <v>55</v>
      </c>
      <c r="G468" s="20" t="n">
        <v>1</v>
      </c>
      <c r="H468" s="20" t="s">
        <v>259</v>
      </c>
      <c r="I468" s="20" t="s">
        <v>50</v>
      </c>
    </row>
    <row r="469" customFormat="false" ht="15" hidden="false" customHeight="false" outlineLevel="0" collapsed="false">
      <c r="A469" s="20" t="s">
        <v>1015</v>
      </c>
      <c r="B469" s="20" t="s">
        <v>931</v>
      </c>
      <c r="C469" s="20" t="s">
        <v>494</v>
      </c>
      <c r="D469" s="20" t="s">
        <v>59</v>
      </c>
      <c r="E469" s="20" t="s">
        <v>110</v>
      </c>
      <c r="F469" s="20" t="s">
        <v>111</v>
      </c>
      <c r="G469" s="20" t="n">
        <v>2</v>
      </c>
      <c r="H469" s="20" t="n">
        <v>16</v>
      </c>
      <c r="I469" s="20" t="s">
        <v>50</v>
      </c>
    </row>
    <row r="470" customFormat="false" ht="15" hidden="false" customHeight="false" outlineLevel="0" collapsed="false">
      <c r="A470" s="20" t="s">
        <v>1016</v>
      </c>
      <c r="B470" s="20" t="s">
        <v>1017</v>
      </c>
      <c r="C470" s="20" t="s">
        <v>1018</v>
      </c>
      <c r="D470" s="20" t="s">
        <v>70</v>
      </c>
      <c r="E470" s="20" t="s">
        <v>110</v>
      </c>
      <c r="F470" s="20" t="s">
        <v>111</v>
      </c>
      <c r="G470" s="20" t="n">
        <v>1</v>
      </c>
      <c r="H470" s="20" t="n">
        <v>16</v>
      </c>
      <c r="I470" s="20" t="s">
        <v>50</v>
      </c>
    </row>
    <row r="471" customFormat="false" ht="15" hidden="false" customHeight="false" outlineLevel="0" collapsed="false">
      <c r="A471" s="20" t="s">
        <v>1019</v>
      </c>
      <c r="B471" s="20" t="s">
        <v>1020</v>
      </c>
      <c r="C471" s="20" t="s">
        <v>147</v>
      </c>
      <c r="D471" s="20" t="s">
        <v>70</v>
      </c>
      <c r="E471" s="20" t="s">
        <v>54</v>
      </c>
      <c r="F471" s="20" t="s">
        <v>72</v>
      </c>
      <c r="G471" s="20" t="n">
        <v>2</v>
      </c>
      <c r="H471" s="20" t="n">
        <v>24</v>
      </c>
      <c r="I471" s="20" t="s">
        <v>50</v>
      </c>
    </row>
    <row r="472" customFormat="false" ht="15" hidden="false" customHeight="false" outlineLevel="0" collapsed="false">
      <c r="A472" s="20" t="s">
        <v>1021</v>
      </c>
      <c r="B472" s="20" t="s">
        <v>1022</v>
      </c>
      <c r="C472" s="20" t="s">
        <v>64</v>
      </c>
      <c r="D472" s="20" t="s">
        <v>59</v>
      </c>
      <c r="E472" s="20" t="s">
        <v>92</v>
      </c>
      <c r="F472" s="20" t="s">
        <v>93</v>
      </c>
      <c r="G472" s="20" t="n">
        <v>3</v>
      </c>
      <c r="H472" s="20" t="s">
        <v>94</v>
      </c>
      <c r="I472" s="20" t="s">
        <v>50</v>
      </c>
    </row>
    <row r="473" customFormat="false" ht="15" hidden="false" customHeight="false" outlineLevel="0" collapsed="false">
      <c r="A473" s="20" t="s">
        <v>877</v>
      </c>
      <c r="B473" s="20" t="s">
        <v>878</v>
      </c>
      <c r="C473" s="20" t="s">
        <v>348</v>
      </c>
      <c r="D473" s="20" t="s">
        <v>70</v>
      </c>
      <c r="E473" s="20" t="s">
        <v>110</v>
      </c>
      <c r="F473" s="20" t="s">
        <v>111</v>
      </c>
      <c r="G473" s="20" t="n">
        <v>3</v>
      </c>
      <c r="H473" s="20" t="n">
        <v>16</v>
      </c>
      <c r="I473" s="20" t="s">
        <v>50</v>
      </c>
    </row>
    <row r="474" customFormat="false" ht="15" hidden="false" customHeight="false" outlineLevel="0" collapsed="false">
      <c r="A474" s="20" t="s">
        <v>1023</v>
      </c>
      <c r="B474" s="21" t="n">
        <v>45956</v>
      </c>
      <c r="C474" s="20" t="s">
        <v>578</v>
      </c>
      <c r="D474" s="20" t="s">
        <v>109</v>
      </c>
      <c r="E474" s="20" t="s">
        <v>140</v>
      </c>
      <c r="F474" s="20" t="s">
        <v>105</v>
      </c>
      <c r="G474" s="20" t="n">
        <v>4</v>
      </c>
      <c r="H474" s="20" t="n">
        <v>49</v>
      </c>
      <c r="I474" s="20" t="s">
        <v>50</v>
      </c>
    </row>
    <row r="475" customFormat="false" ht="15" hidden="false" customHeight="false" outlineLevel="0" collapsed="false">
      <c r="A475" s="20" t="s">
        <v>1024</v>
      </c>
      <c r="B475" s="20" t="s">
        <v>401</v>
      </c>
      <c r="C475" s="20" t="s">
        <v>1025</v>
      </c>
      <c r="D475" s="20" t="s">
        <v>47</v>
      </c>
      <c r="E475" s="20" t="s">
        <v>81</v>
      </c>
      <c r="F475" s="20" t="s">
        <v>82</v>
      </c>
      <c r="G475" s="20" t="n">
        <v>1</v>
      </c>
      <c r="H475" s="20" t="n">
        <v>22</v>
      </c>
      <c r="I475" s="20" t="s">
        <v>50</v>
      </c>
    </row>
    <row r="476" customFormat="false" ht="15" hidden="false" customHeight="false" outlineLevel="0" collapsed="false">
      <c r="A476" s="20" t="s">
        <v>1026</v>
      </c>
      <c r="B476" s="20" t="s">
        <v>1027</v>
      </c>
      <c r="C476" s="20" t="s">
        <v>1028</v>
      </c>
      <c r="D476" s="20" t="s">
        <v>157</v>
      </c>
      <c r="E476" s="20" t="s">
        <v>110</v>
      </c>
      <c r="F476" s="20" t="s">
        <v>236</v>
      </c>
      <c r="G476" s="20" t="n">
        <v>1</v>
      </c>
      <c r="H476" s="20" t="n">
        <v>30</v>
      </c>
      <c r="I476" s="20" t="s">
        <v>50</v>
      </c>
    </row>
    <row r="477" customFormat="false" ht="15" hidden="false" customHeight="false" outlineLevel="0" collapsed="false">
      <c r="A477" s="20" t="s">
        <v>1029</v>
      </c>
      <c r="B477" s="20" t="s">
        <v>803</v>
      </c>
      <c r="C477" s="20" t="s">
        <v>210</v>
      </c>
      <c r="D477" s="20" t="s">
        <v>301</v>
      </c>
      <c r="E477" s="20" t="s">
        <v>110</v>
      </c>
      <c r="F477" s="20" t="s">
        <v>121</v>
      </c>
      <c r="G477" s="20" t="n">
        <v>1</v>
      </c>
      <c r="H477" s="20" t="s">
        <v>122</v>
      </c>
      <c r="I477" s="20" t="s">
        <v>50</v>
      </c>
    </row>
    <row r="478" customFormat="false" ht="15" hidden="false" customHeight="false" outlineLevel="0" collapsed="false">
      <c r="A478" s="20" t="s">
        <v>978</v>
      </c>
      <c r="B478" s="20" t="s">
        <v>979</v>
      </c>
      <c r="C478" s="20" t="s">
        <v>323</v>
      </c>
      <c r="D478" s="20" t="s">
        <v>65</v>
      </c>
      <c r="E478" s="20" t="s">
        <v>110</v>
      </c>
      <c r="F478" s="20" t="s">
        <v>111</v>
      </c>
      <c r="G478" s="20" t="n">
        <v>1</v>
      </c>
      <c r="H478" s="20" t="n">
        <v>16</v>
      </c>
      <c r="I478" s="20" t="s">
        <v>50</v>
      </c>
    </row>
    <row r="479" customFormat="false" ht="15" hidden="false" customHeight="false" outlineLevel="0" collapsed="false">
      <c r="A479" s="20" t="s">
        <v>1030</v>
      </c>
      <c r="B479" s="20" t="s">
        <v>57</v>
      </c>
      <c r="C479" s="20" t="s">
        <v>170</v>
      </c>
      <c r="D479" s="20" t="s">
        <v>222</v>
      </c>
      <c r="E479" s="20" t="s">
        <v>54</v>
      </c>
      <c r="F479" s="20" t="s">
        <v>72</v>
      </c>
      <c r="G479" s="20" t="n">
        <v>2</v>
      </c>
      <c r="H479" s="20" t="n">
        <v>24</v>
      </c>
      <c r="I479" s="20" t="s">
        <v>50</v>
      </c>
    </row>
    <row r="480" customFormat="false" ht="15" hidden="false" customHeight="false" outlineLevel="0" collapsed="false">
      <c r="A480" s="20" t="s">
        <v>1031</v>
      </c>
      <c r="B480" s="20" t="s">
        <v>697</v>
      </c>
      <c r="C480" s="20" t="s">
        <v>64</v>
      </c>
      <c r="D480" s="20" t="s">
        <v>47</v>
      </c>
      <c r="E480" s="20" t="s">
        <v>81</v>
      </c>
      <c r="F480" s="20" t="s">
        <v>61</v>
      </c>
      <c r="G480" s="20" t="n">
        <v>1</v>
      </c>
      <c r="H480" s="20" t="n">
        <v>35</v>
      </c>
      <c r="I480" s="20" t="s">
        <v>50</v>
      </c>
    </row>
    <row r="481" customFormat="false" ht="15" hidden="false" customHeight="false" outlineLevel="0" collapsed="false">
      <c r="A481" s="20" t="s">
        <v>1032</v>
      </c>
      <c r="B481" s="20" t="s">
        <v>1033</v>
      </c>
      <c r="C481" s="20" t="s">
        <v>719</v>
      </c>
      <c r="D481" s="20" t="s">
        <v>65</v>
      </c>
      <c r="E481" s="20" t="s">
        <v>81</v>
      </c>
      <c r="F481" s="20" t="s">
        <v>82</v>
      </c>
      <c r="G481" s="20" t="n">
        <v>1</v>
      </c>
      <c r="H481" s="20" t="s">
        <v>154</v>
      </c>
      <c r="I481" s="20" t="s">
        <v>50</v>
      </c>
    </row>
    <row r="482" customFormat="false" ht="15" hidden="false" customHeight="false" outlineLevel="0" collapsed="false">
      <c r="A482" s="20" t="s">
        <v>1034</v>
      </c>
      <c r="B482" s="20" t="s">
        <v>1035</v>
      </c>
      <c r="C482" s="20" t="s">
        <v>344</v>
      </c>
      <c r="D482" s="20" t="s">
        <v>59</v>
      </c>
      <c r="E482" s="20" t="s">
        <v>81</v>
      </c>
      <c r="F482" s="20" t="s">
        <v>82</v>
      </c>
      <c r="G482" s="20" t="n">
        <v>1</v>
      </c>
      <c r="H482" s="20" t="s">
        <v>154</v>
      </c>
      <c r="I482" s="20" t="s">
        <v>50</v>
      </c>
    </row>
    <row r="483" customFormat="false" ht="15" hidden="false" customHeight="false" outlineLevel="0" collapsed="false">
      <c r="A483" s="20" t="s">
        <v>1036</v>
      </c>
      <c r="B483" s="20" t="s">
        <v>1037</v>
      </c>
      <c r="C483" s="20" t="s">
        <v>281</v>
      </c>
      <c r="D483" s="20" t="s">
        <v>65</v>
      </c>
      <c r="E483" s="20" t="s">
        <v>92</v>
      </c>
      <c r="F483" s="20" t="s">
        <v>93</v>
      </c>
      <c r="G483" s="20" t="n">
        <v>1</v>
      </c>
      <c r="H483" s="20" t="n">
        <v>15</v>
      </c>
      <c r="I483" s="20" t="s">
        <v>50</v>
      </c>
    </row>
    <row r="484" customFormat="false" ht="15" hidden="false" customHeight="false" outlineLevel="0" collapsed="false">
      <c r="A484" s="20" t="s">
        <v>1038</v>
      </c>
      <c r="B484" s="20" t="s">
        <v>475</v>
      </c>
      <c r="C484" s="20" t="s">
        <v>719</v>
      </c>
      <c r="D484" s="20" t="s">
        <v>59</v>
      </c>
      <c r="E484" s="20" t="s">
        <v>234</v>
      </c>
      <c r="F484" s="20" t="s">
        <v>61</v>
      </c>
      <c r="G484" s="20" t="n">
        <v>1</v>
      </c>
      <c r="H484" s="20" t="n">
        <v>35</v>
      </c>
      <c r="I484" s="20" t="s">
        <v>50</v>
      </c>
    </row>
    <row r="485" customFormat="false" ht="15" hidden="false" customHeight="false" outlineLevel="0" collapsed="false">
      <c r="A485" s="20" t="s">
        <v>1039</v>
      </c>
      <c r="B485" s="20" t="s">
        <v>1040</v>
      </c>
      <c r="C485" s="20" t="s">
        <v>250</v>
      </c>
      <c r="D485" s="20" t="s">
        <v>319</v>
      </c>
      <c r="E485" s="20" t="s">
        <v>110</v>
      </c>
      <c r="F485" s="20" t="s">
        <v>236</v>
      </c>
      <c r="G485" s="20" t="n">
        <v>1</v>
      </c>
      <c r="H485" s="20" t="s">
        <v>242</v>
      </c>
      <c r="I485" s="20" t="s">
        <v>50</v>
      </c>
    </row>
    <row r="486" customFormat="false" ht="15" hidden="false" customHeight="false" outlineLevel="0" collapsed="false">
      <c r="A486" s="20" t="s">
        <v>1041</v>
      </c>
      <c r="B486" s="20" t="s">
        <v>1042</v>
      </c>
      <c r="C486" s="20" t="s">
        <v>214</v>
      </c>
      <c r="D486" s="20" t="s">
        <v>47</v>
      </c>
      <c r="E486" s="20" t="s">
        <v>92</v>
      </c>
      <c r="F486" s="20" t="s">
        <v>93</v>
      </c>
      <c r="G486" s="20" t="n">
        <v>2</v>
      </c>
      <c r="H486" s="20" t="s">
        <v>94</v>
      </c>
      <c r="I486" s="20" t="s">
        <v>50</v>
      </c>
    </row>
    <row r="487" customFormat="false" ht="15" hidden="false" customHeight="false" outlineLevel="0" collapsed="false">
      <c r="A487" s="20" t="s">
        <v>1043</v>
      </c>
      <c r="B487" s="21" t="n">
        <v>45846</v>
      </c>
      <c r="C487" s="20" t="s">
        <v>195</v>
      </c>
      <c r="D487" s="20" t="s">
        <v>59</v>
      </c>
      <c r="E487" s="20" t="s">
        <v>54</v>
      </c>
      <c r="F487" s="20" t="s">
        <v>76</v>
      </c>
      <c r="G487" s="20" t="n">
        <v>2</v>
      </c>
      <c r="H487" s="20" t="s">
        <v>77</v>
      </c>
      <c r="I487" s="20" t="s">
        <v>50</v>
      </c>
    </row>
    <row r="488" customFormat="false" ht="15" hidden="false" customHeight="false" outlineLevel="0" collapsed="false">
      <c r="A488" s="20" t="s">
        <v>1044</v>
      </c>
      <c r="B488" s="20" t="s">
        <v>959</v>
      </c>
      <c r="C488" s="20" t="s">
        <v>245</v>
      </c>
      <c r="D488" s="20" t="s">
        <v>47</v>
      </c>
      <c r="E488" s="20" t="s">
        <v>48</v>
      </c>
      <c r="F488" s="20" t="s">
        <v>49</v>
      </c>
      <c r="G488" s="20" t="n">
        <v>2</v>
      </c>
      <c r="H488" s="20" t="n">
        <v>18</v>
      </c>
      <c r="I488" s="20" t="s">
        <v>50</v>
      </c>
    </row>
    <row r="489" customFormat="false" ht="15" hidden="false" customHeight="false" outlineLevel="0" collapsed="false">
      <c r="A489" s="20" t="s">
        <v>1045</v>
      </c>
      <c r="B489" s="20" t="s">
        <v>1046</v>
      </c>
      <c r="C489" s="20" t="s">
        <v>104</v>
      </c>
      <c r="D489" s="20" t="s">
        <v>47</v>
      </c>
      <c r="E489" s="20" t="s">
        <v>110</v>
      </c>
      <c r="F489" s="20" t="s">
        <v>111</v>
      </c>
      <c r="G489" s="20" t="n">
        <v>1</v>
      </c>
      <c r="H489" s="20" t="n">
        <v>16</v>
      </c>
      <c r="I489" s="20" t="s">
        <v>50</v>
      </c>
    </row>
    <row r="490" customFormat="false" ht="15" hidden="false" customHeight="false" outlineLevel="0" collapsed="false">
      <c r="A490" s="20" t="s">
        <v>1047</v>
      </c>
      <c r="B490" s="20" t="s">
        <v>1048</v>
      </c>
      <c r="C490" s="20" t="s">
        <v>357</v>
      </c>
      <c r="D490" s="20" t="s">
        <v>59</v>
      </c>
      <c r="E490" s="20" t="s">
        <v>92</v>
      </c>
      <c r="F490" s="20" t="s">
        <v>196</v>
      </c>
      <c r="G490" s="20" t="n">
        <v>1</v>
      </c>
      <c r="H490" s="20" t="s">
        <v>220</v>
      </c>
      <c r="I490" s="20" t="s">
        <v>50</v>
      </c>
    </row>
    <row r="491" customFormat="false" ht="15" hidden="false" customHeight="false" outlineLevel="0" collapsed="false">
      <c r="A491" s="20" t="s">
        <v>1049</v>
      </c>
      <c r="B491" s="21" t="n">
        <v>45748</v>
      </c>
      <c r="C491" s="20" t="s">
        <v>156</v>
      </c>
      <c r="D491" s="20" t="s">
        <v>47</v>
      </c>
      <c r="E491" s="20" t="s">
        <v>92</v>
      </c>
      <c r="F491" s="20" t="s">
        <v>105</v>
      </c>
      <c r="G491" s="20" t="n">
        <v>1</v>
      </c>
      <c r="H491" s="20" t="n">
        <v>49</v>
      </c>
      <c r="I491" s="20" t="s">
        <v>50</v>
      </c>
    </row>
    <row r="492" customFormat="false" ht="15" hidden="false" customHeight="false" outlineLevel="0" collapsed="false">
      <c r="A492" s="20" t="s">
        <v>1050</v>
      </c>
      <c r="B492" s="20" t="s">
        <v>807</v>
      </c>
      <c r="C492" s="20" t="s">
        <v>100</v>
      </c>
      <c r="D492" s="20" t="s">
        <v>171</v>
      </c>
      <c r="E492" s="20" t="s">
        <v>48</v>
      </c>
      <c r="F492" s="20" t="s">
        <v>116</v>
      </c>
      <c r="G492" s="20" t="n">
        <v>1</v>
      </c>
      <c r="H492" s="20" t="s">
        <v>162</v>
      </c>
      <c r="I492" s="20" t="s">
        <v>50</v>
      </c>
    </row>
    <row r="493" customFormat="false" ht="15" hidden="false" customHeight="false" outlineLevel="0" collapsed="false">
      <c r="A493" s="20" t="s">
        <v>1051</v>
      </c>
      <c r="B493" s="20" t="s">
        <v>989</v>
      </c>
      <c r="C493" s="20" t="s">
        <v>428</v>
      </c>
      <c r="D493" s="20" t="s">
        <v>53</v>
      </c>
      <c r="E493" s="20" t="s">
        <v>54</v>
      </c>
      <c r="F493" s="20" t="s">
        <v>72</v>
      </c>
      <c r="G493" s="20" t="n">
        <v>1</v>
      </c>
      <c r="H493" s="20" t="n">
        <v>24</v>
      </c>
      <c r="I493" s="20" t="s">
        <v>163</v>
      </c>
    </row>
    <row r="494" customFormat="false" ht="15" hidden="false" customHeight="false" outlineLevel="0" collapsed="false">
      <c r="A494" s="20" t="s">
        <v>1052</v>
      </c>
      <c r="B494" s="20" t="s">
        <v>1053</v>
      </c>
      <c r="C494" s="20" t="s">
        <v>97</v>
      </c>
      <c r="D494" s="20" t="s">
        <v>282</v>
      </c>
      <c r="E494" s="20" t="s">
        <v>140</v>
      </c>
      <c r="F494" s="20" t="s">
        <v>196</v>
      </c>
      <c r="G494" s="20" t="n">
        <v>2</v>
      </c>
      <c r="H494" s="20" t="n">
        <v>89</v>
      </c>
      <c r="I494" s="20" t="s">
        <v>50</v>
      </c>
    </row>
    <row r="495" customFormat="false" ht="15" hidden="false" customHeight="false" outlineLevel="0" collapsed="false">
      <c r="A495" s="20" t="s">
        <v>145</v>
      </c>
      <c r="B495" s="20" t="s">
        <v>146</v>
      </c>
      <c r="C495" s="20" t="s">
        <v>147</v>
      </c>
      <c r="D495" s="20" t="s">
        <v>59</v>
      </c>
      <c r="E495" s="20" t="s">
        <v>81</v>
      </c>
      <c r="F495" s="20" t="s">
        <v>67</v>
      </c>
      <c r="G495" s="20" t="n">
        <v>1</v>
      </c>
      <c r="H495" s="20" t="n">
        <v>45</v>
      </c>
      <c r="I495" s="20" t="s">
        <v>50</v>
      </c>
    </row>
    <row r="496" customFormat="false" ht="15" hidden="false" customHeight="false" outlineLevel="0" collapsed="false">
      <c r="A496" s="20" t="s">
        <v>1054</v>
      </c>
      <c r="B496" s="20" t="s">
        <v>911</v>
      </c>
      <c r="C496" s="20" t="s">
        <v>557</v>
      </c>
      <c r="D496" s="20" t="s">
        <v>65</v>
      </c>
      <c r="E496" s="20" t="s">
        <v>54</v>
      </c>
      <c r="F496" s="20" t="s">
        <v>76</v>
      </c>
      <c r="G496" s="20" t="n">
        <v>1</v>
      </c>
      <c r="H496" s="20" t="n">
        <v>32</v>
      </c>
      <c r="I496" s="20" t="s">
        <v>50</v>
      </c>
    </row>
    <row r="497" customFormat="false" ht="15" hidden="false" customHeight="false" outlineLevel="0" collapsed="false">
      <c r="A497" s="20" t="s">
        <v>1055</v>
      </c>
      <c r="B497" s="21" t="n">
        <v>45787</v>
      </c>
      <c r="C497" s="20" t="s">
        <v>250</v>
      </c>
      <c r="D497" s="20" t="s">
        <v>47</v>
      </c>
      <c r="E497" s="20" t="s">
        <v>505</v>
      </c>
      <c r="F497" s="20" t="s">
        <v>49</v>
      </c>
      <c r="G497" s="20" t="n">
        <v>1</v>
      </c>
      <c r="H497" s="20" t="n">
        <v>18</v>
      </c>
      <c r="I497" s="20" t="s">
        <v>136</v>
      </c>
    </row>
    <row r="498" customFormat="false" ht="15" hidden="false" customHeight="false" outlineLevel="0" collapsed="false">
      <c r="A498" s="20" t="s">
        <v>1056</v>
      </c>
      <c r="B498" s="21" t="n">
        <v>45850</v>
      </c>
      <c r="C498" s="20" t="s">
        <v>1018</v>
      </c>
      <c r="D498" s="20" t="s">
        <v>47</v>
      </c>
      <c r="E498" s="20" t="s">
        <v>92</v>
      </c>
      <c r="F498" s="20" t="s">
        <v>93</v>
      </c>
      <c r="G498" s="20" t="n">
        <v>1</v>
      </c>
      <c r="H498" s="20" t="s">
        <v>94</v>
      </c>
      <c r="I498" s="20" t="s">
        <v>50</v>
      </c>
    </row>
    <row r="499" customFormat="false" ht="15" hidden="false" customHeight="false" outlineLevel="0" collapsed="false">
      <c r="A499" s="20" t="s">
        <v>1057</v>
      </c>
      <c r="B499" s="20" t="s">
        <v>1058</v>
      </c>
      <c r="C499" s="20" t="s">
        <v>239</v>
      </c>
      <c r="D499" s="20" t="s">
        <v>109</v>
      </c>
      <c r="E499" s="20" t="s">
        <v>60</v>
      </c>
      <c r="F499" s="20" t="s">
        <v>61</v>
      </c>
      <c r="G499" s="20" t="n">
        <v>1</v>
      </c>
      <c r="H499" s="20" t="n">
        <v>35</v>
      </c>
      <c r="I499" s="20" t="s">
        <v>50</v>
      </c>
    </row>
    <row r="500" customFormat="false" ht="15" hidden="false" customHeight="false" outlineLevel="0" collapsed="false">
      <c r="A500" s="20" t="s">
        <v>1059</v>
      </c>
      <c r="B500" s="20" t="s">
        <v>800</v>
      </c>
      <c r="C500" s="20" t="s">
        <v>431</v>
      </c>
      <c r="D500" s="20" t="s">
        <v>70</v>
      </c>
      <c r="E500" s="20" t="s">
        <v>110</v>
      </c>
      <c r="F500" s="20" t="s">
        <v>236</v>
      </c>
      <c r="G500" s="20" t="n">
        <v>1</v>
      </c>
      <c r="H500" s="20" t="n">
        <v>30</v>
      </c>
      <c r="I500" s="20" t="s">
        <v>50</v>
      </c>
    </row>
    <row r="501" customFormat="false" ht="15" hidden="false" customHeight="false" outlineLevel="0" collapsed="false">
      <c r="A501" s="20" t="s">
        <v>1060</v>
      </c>
      <c r="B501" s="20" t="s">
        <v>128</v>
      </c>
      <c r="C501" s="20"/>
      <c r="D501" s="20" t="s">
        <v>65</v>
      </c>
      <c r="E501" s="20" t="s">
        <v>54</v>
      </c>
      <c r="F501" s="20" t="s">
        <v>55</v>
      </c>
      <c r="G501" s="20" t="n">
        <v>1</v>
      </c>
      <c r="H501" s="20" t="s">
        <v>259</v>
      </c>
      <c r="I501" s="20" t="s">
        <v>50</v>
      </c>
    </row>
    <row r="502" customFormat="false" ht="15" hidden="false" customHeight="false" outlineLevel="0" collapsed="false">
      <c r="A502" s="20" t="s">
        <v>1061</v>
      </c>
      <c r="B502" s="20" t="s">
        <v>1062</v>
      </c>
      <c r="C502" s="20" t="s">
        <v>214</v>
      </c>
      <c r="D502" s="20" t="s">
        <v>109</v>
      </c>
      <c r="E502" s="20" t="s">
        <v>54</v>
      </c>
      <c r="F502" s="20" t="s">
        <v>72</v>
      </c>
      <c r="G502" s="20" t="n">
        <v>1</v>
      </c>
      <c r="H502" s="20" t="s">
        <v>293</v>
      </c>
      <c r="I502" s="20" t="s">
        <v>163</v>
      </c>
    </row>
    <row r="503" customFormat="false" ht="15" hidden="false" customHeight="false" outlineLevel="0" collapsed="false">
      <c r="A503" s="20" t="s">
        <v>1063</v>
      </c>
      <c r="B503" s="20" t="s">
        <v>874</v>
      </c>
      <c r="C503" s="20" t="s">
        <v>248</v>
      </c>
      <c r="D503" s="20" t="s">
        <v>47</v>
      </c>
      <c r="E503" s="20" t="s">
        <v>297</v>
      </c>
      <c r="F503" s="20" t="s">
        <v>121</v>
      </c>
      <c r="G503" s="20" t="n">
        <v>4</v>
      </c>
      <c r="H503" s="20" t="n">
        <v>21</v>
      </c>
      <c r="I503" s="20" t="s">
        <v>50</v>
      </c>
    </row>
    <row r="504" customFormat="false" ht="15" hidden="false" customHeight="false" outlineLevel="0" collapsed="false">
      <c r="A504" s="20" t="s">
        <v>1064</v>
      </c>
      <c r="B504" s="21" t="n">
        <v>46010</v>
      </c>
      <c r="C504" s="20" t="s">
        <v>483</v>
      </c>
      <c r="D504" s="20" t="s">
        <v>47</v>
      </c>
      <c r="E504" s="20" t="s">
        <v>234</v>
      </c>
      <c r="F504" s="20" t="s">
        <v>82</v>
      </c>
      <c r="G504" s="20" t="n">
        <v>2</v>
      </c>
      <c r="H504" s="20" t="n">
        <v>22</v>
      </c>
      <c r="I504" s="20" t="s">
        <v>50</v>
      </c>
    </row>
    <row r="505" customFormat="false" ht="15" hidden="false" customHeight="false" outlineLevel="0" collapsed="false">
      <c r="A505" s="20" t="s">
        <v>1065</v>
      </c>
      <c r="B505" s="20" t="s">
        <v>1066</v>
      </c>
      <c r="C505" s="20" t="s">
        <v>186</v>
      </c>
      <c r="D505" s="20" t="s">
        <v>47</v>
      </c>
      <c r="E505" s="20" t="s">
        <v>54</v>
      </c>
      <c r="F505" s="20" t="s">
        <v>55</v>
      </c>
      <c r="G505" s="20" t="n">
        <v>2</v>
      </c>
      <c r="H505" s="20" t="n">
        <v>38</v>
      </c>
      <c r="I505" s="20" t="s">
        <v>50</v>
      </c>
    </row>
    <row r="506" customFormat="false" ht="15" hidden="false" customHeight="false" outlineLevel="0" collapsed="false">
      <c r="A506" s="20" t="s">
        <v>1067</v>
      </c>
      <c r="B506" s="21" t="n">
        <v>45716</v>
      </c>
      <c r="C506" s="20" t="s">
        <v>502</v>
      </c>
      <c r="D506" s="20" t="s">
        <v>59</v>
      </c>
      <c r="E506" s="20" t="s">
        <v>81</v>
      </c>
      <c r="F506" s="20" t="s">
        <v>67</v>
      </c>
      <c r="G506" s="20" t="n">
        <v>1</v>
      </c>
      <c r="H506" s="20" t="n">
        <v>45</v>
      </c>
      <c r="I506" s="20" t="s">
        <v>112</v>
      </c>
    </row>
    <row r="507" customFormat="false" ht="15" hidden="false" customHeight="false" outlineLevel="0" collapsed="false">
      <c r="A507" s="20" t="s">
        <v>1068</v>
      </c>
      <c r="B507" s="20" t="s">
        <v>1069</v>
      </c>
      <c r="C507" s="20" t="s">
        <v>239</v>
      </c>
      <c r="D507" s="20" t="s">
        <v>59</v>
      </c>
      <c r="E507" s="20" t="s">
        <v>48</v>
      </c>
      <c r="F507" s="20" t="s">
        <v>144</v>
      </c>
      <c r="G507" s="20" t="n">
        <v>2</v>
      </c>
      <c r="H507" s="20" t="n">
        <v>54</v>
      </c>
      <c r="I507" s="20" t="s">
        <v>50</v>
      </c>
    </row>
    <row r="508" customFormat="false" ht="15" hidden="false" customHeight="false" outlineLevel="0" collapsed="false">
      <c r="A508" s="20" t="s">
        <v>1070</v>
      </c>
      <c r="B508" s="20" t="s">
        <v>1071</v>
      </c>
      <c r="C508" s="20" t="s">
        <v>380</v>
      </c>
      <c r="D508" s="20" t="s">
        <v>47</v>
      </c>
      <c r="E508" s="20" t="s">
        <v>110</v>
      </c>
      <c r="F508" s="20" t="s">
        <v>111</v>
      </c>
      <c r="G508" s="20" t="n">
        <v>1</v>
      </c>
      <c r="H508" s="20" t="n">
        <v>16</v>
      </c>
      <c r="I508" s="20" t="s">
        <v>50</v>
      </c>
    </row>
    <row r="509" customFormat="false" ht="15" hidden="false" customHeight="false" outlineLevel="0" collapsed="false">
      <c r="A509" s="20" t="s">
        <v>1072</v>
      </c>
      <c r="B509" s="20" t="s">
        <v>525</v>
      </c>
      <c r="C509" s="20" t="s">
        <v>296</v>
      </c>
      <c r="D509" s="20" t="s">
        <v>47</v>
      </c>
      <c r="E509" s="20" t="s">
        <v>110</v>
      </c>
      <c r="F509" s="20" t="s">
        <v>236</v>
      </c>
      <c r="G509" s="20" t="n">
        <v>1</v>
      </c>
      <c r="H509" s="20" t="n">
        <v>30</v>
      </c>
      <c r="I509" s="20" t="s">
        <v>50</v>
      </c>
    </row>
    <row r="510" customFormat="false" ht="15" hidden="false" customHeight="false" outlineLevel="0" collapsed="false">
      <c r="A510" s="20" t="s">
        <v>1073</v>
      </c>
      <c r="B510" s="20" t="s">
        <v>1074</v>
      </c>
      <c r="C510" s="20" t="s">
        <v>296</v>
      </c>
      <c r="D510" s="20" t="s">
        <v>109</v>
      </c>
      <c r="E510" s="20" t="s">
        <v>48</v>
      </c>
      <c r="F510" s="20" t="s">
        <v>116</v>
      </c>
      <c r="G510" s="20" t="n">
        <v>4</v>
      </c>
      <c r="H510" s="20" t="n">
        <v>28</v>
      </c>
      <c r="I510" s="20" t="s">
        <v>50</v>
      </c>
    </row>
    <row r="511" customFormat="false" ht="15" hidden="false" customHeight="false" outlineLevel="0" collapsed="false">
      <c r="A511" s="20" t="s">
        <v>1075</v>
      </c>
      <c r="B511" s="20" t="s">
        <v>1076</v>
      </c>
      <c r="C511" s="20" t="s">
        <v>424</v>
      </c>
      <c r="D511" s="20" t="s">
        <v>253</v>
      </c>
      <c r="E511" s="20" t="s">
        <v>48</v>
      </c>
      <c r="F511" s="20" t="s">
        <v>116</v>
      </c>
      <c r="G511" s="20" t="n">
        <v>1</v>
      </c>
      <c r="H511" s="20" t="s">
        <v>162</v>
      </c>
      <c r="I511" s="20" t="s">
        <v>50</v>
      </c>
    </row>
    <row r="512" customFormat="false" ht="15" hidden="false" customHeight="false" outlineLevel="0" collapsed="false">
      <c r="A512" s="20" t="s">
        <v>1077</v>
      </c>
      <c r="B512" s="20" t="s">
        <v>849</v>
      </c>
      <c r="C512" s="20" t="s">
        <v>578</v>
      </c>
      <c r="D512" s="20" t="s">
        <v>53</v>
      </c>
      <c r="E512" s="20" t="s">
        <v>81</v>
      </c>
      <c r="F512" s="20" t="s">
        <v>82</v>
      </c>
      <c r="G512" s="20" t="n">
        <v>1</v>
      </c>
      <c r="H512" s="20" t="n">
        <v>22</v>
      </c>
      <c r="I512" s="20" t="s">
        <v>50</v>
      </c>
    </row>
    <row r="513" customFormat="false" ht="15" hidden="false" customHeight="false" outlineLevel="0" collapsed="false">
      <c r="A513" s="20" t="s">
        <v>1078</v>
      </c>
      <c r="B513" s="20" t="s">
        <v>1079</v>
      </c>
      <c r="C513" s="20" t="s">
        <v>1013</v>
      </c>
      <c r="D513" s="20" t="s">
        <v>59</v>
      </c>
      <c r="E513" s="20" t="s">
        <v>48</v>
      </c>
      <c r="F513" s="20" t="s">
        <v>144</v>
      </c>
      <c r="G513" s="20" t="n">
        <v>2</v>
      </c>
      <c r="H513" s="20" t="n">
        <v>54</v>
      </c>
      <c r="I513" s="20" t="s">
        <v>50</v>
      </c>
    </row>
    <row r="514" customFormat="false" ht="15" hidden="false" customHeight="false" outlineLevel="0" collapsed="false">
      <c r="A514" s="20" t="s">
        <v>1080</v>
      </c>
      <c r="B514" s="20" t="s">
        <v>1081</v>
      </c>
      <c r="C514" s="20" t="s">
        <v>192</v>
      </c>
      <c r="D514" s="20" t="s">
        <v>752</v>
      </c>
      <c r="E514" s="20" t="s">
        <v>54</v>
      </c>
      <c r="F514" s="20" t="s">
        <v>76</v>
      </c>
      <c r="G514" s="20" t="n">
        <v>1</v>
      </c>
      <c r="H514" s="20" t="n">
        <v>32</v>
      </c>
      <c r="I514" s="20" t="s">
        <v>50</v>
      </c>
    </row>
    <row r="515" customFormat="false" ht="15" hidden="false" customHeight="false" outlineLevel="0" collapsed="false">
      <c r="A515" s="20" t="s">
        <v>1082</v>
      </c>
      <c r="B515" s="21" t="n">
        <v>45822</v>
      </c>
      <c r="C515" s="20" t="s">
        <v>86</v>
      </c>
      <c r="D515" s="20" t="s">
        <v>47</v>
      </c>
      <c r="E515" s="20" t="s">
        <v>92</v>
      </c>
      <c r="F515" s="20" t="s">
        <v>196</v>
      </c>
      <c r="G515" s="20" t="n">
        <v>1</v>
      </c>
      <c r="H515" s="20" t="s">
        <v>220</v>
      </c>
      <c r="I515" s="20" t="s">
        <v>50</v>
      </c>
    </row>
    <row r="516" customFormat="false" ht="15" hidden="false" customHeight="false" outlineLevel="0" collapsed="false">
      <c r="A516" s="20" t="s">
        <v>1083</v>
      </c>
      <c r="B516" s="21" t="n">
        <v>45770</v>
      </c>
      <c r="C516" s="20" t="s">
        <v>300</v>
      </c>
      <c r="D516" s="20" t="s">
        <v>171</v>
      </c>
      <c r="E516" s="20" t="s">
        <v>54</v>
      </c>
      <c r="F516" s="20" t="s">
        <v>55</v>
      </c>
      <c r="G516" s="20" t="n">
        <v>1</v>
      </c>
      <c r="H516" s="20" t="n">
        <v>38</v>
      </c>
      <c r="I516" s="20" t="s">
        <v>136</v>
      </c>
    </row>
    <row r="517" customFormat="false" ht="15" hidden="false" customHeight="false" outlineLevel="0" collapsed="false">
      <c r="A517" s="20" t="s">
        <v>1084</v>
      </c>
      <c r="B517" s="20" t="s">
        <v>244</v>
      </c>
      <c r="C517" s="20" t="s">
        <v>189</v>
      </c>
      <c r="D517" s="20" t="s">
        <v>47</v>
      </c>
      <c r="E517" s="20" t="s">
        <v>92</v>
      </c>
      <c r="F517" s="20" t="s">
        <v>196</v>
      </c>
      <c r="G517" s="20" t="n">
        <v>1</v>
      </c>
      <c r="H517" s="20" t="n">
        <v>89</v>
      </c>
      <c r="I517" s="20" t="s">
        <v>50</v>
      </c>
    </row>
    <row r="518" customFormat="false" ht="15" hidden="false" customHeight="false" outlineLevel="0" collapsed="false">
      <c r="A518" s="20" t="s">
        <v>1085</v>
      </c>
      <c r="B518" s="20" t="s">
        <v>751</v>
      </c>
      <c r="C518" s="20" t="s">
        <v>476</v>
      </c>
      <c r="D518" s="20" t="s">
        <v>171</v>
      </c>
      <c r="E518" s="20" t="s">
        <v>81</v>
      </c>
      <c r="F518" s="20" t="s">
        <v>82</v>
      </c>
      <c r="G518" s="20" t="n">
        <v>1</v>
      </c>
      <c r="H518" s="20" t="s">
        <v>154</v>
      </c>
      <c r="I518" s="20" t="s">
        <v>50</v>
      </c>
    </row>
    <row r="519" customFormat="false" ht="15" hidden="false" customHeight="false" outlineLevel="0" collapsed="false">
      <c r="A519" s="20" t="s">
        <v>1086</v>
      </c>
      <c r="B519" s="20" t="s">
        <v>1087</v>
      </c>
      <c r="C519" s="20" t="s">
        <v>195</v>
      </c>
      <c r="D519" s="20" t="s">
        <v>707</v>
      </c>
      <c r="E519" s="20" t="s">
        <v>48</v>
      </c>
      <c r="F519" s="20" t="s">
        <v>144</v>
      </c>
      <c r="G519" s="20" t="n">
        <v>1</v>
      </c>
      <c r="H519" s="20" t="n">
        <v>54</v>
      </c>
      <c r="I519" s="20" t="s">
        <v>50</v>
      </c>
    </row>
    <row r="520" customFormat="false" ht="15" hidden="false" customHeight="false" outlineLevel="0" collapsed="false">
      <c r="A520" s="20" t="s">
        <v>1088</v>
      </c>
      <c r="B520" s="20" t="s">
        <v>411</v>
      </c>
      <c r="C520" s="20" t="s">
        <v>64</v>
      </c>
      <c r="D520" s="20" t="s">
        <v>65</v>
      </c>
      <c r="E520" s="20" t="s">
        <v>110</v>
      </c>
      <c r="F520" s="20" t="s">
        <v>121</v>
      </c>
      <c r="G520" s="20" t="n">
        <v>1</v>
      </c>
      <c r="H520" s="20" t="n">
        <v>21</v>
      </c>
      <c r="I520" s="20" t="s">
        <v>50</v>
      </c>
    </row>
    <row r="521" customFormat="false" ht="15" hidden="false" customHeight="false" outlineLevel="0" collapsed="false">
      <c r="A521" s="20" t="s">
        <v>1089</v>
      </c>
      <c r="B521" s="20" t="s">
        <v>1090</v>
      </c>
      <c r="C521" s="20" t="s">
        <v>1091</v>
      </c>
      <c r="D521" s="20" t="s">
        <v>109</v>
      </c>
      <c r="E521" s="20" t="s">
        <v>48</v>
      </c>
      <c r="F521" s="20" t="s">
        <v>49</v>
      </c>
      <c r="G521" s="20" t="n">
        <v>3</v>
      </c>
      <c r="H521" s="20" t="n">
        <v>18</v>
      </c>
      <c r="I521" s="20" t="s">
        <v>50</v>
      </c>
    </row>
    <row r="522" customFormat="false" ht="15" hidden="false" customHeight="false" outlineLevel="0" collapsed="false">
      <c r="A522" s="20" t="s">
        <v>1092</v>
      </c>
      <c r="B522" s="20" t="s">
        <v>1093</v>
      </c>
      <c r="C522" s="20"/>
      <c r="D522" s="20" t="s">
        <v>202</v>
      </c>
      <c r="E522" s="20" t="s">
        <v>48</v>
      </c>
      <c r="F522" s="20" t="s">
        <v>49</v>
      </c>
      <c r="G522" s="20" t="n">
        <v>4</v>
      </c>
      <c r="H522" s="20" t="n">
        <v>18</v>
      </c>
      <c r="I522" s="20" t="s">
        <v>50</v>
      </c>
    </row>
    <row r="523" customFormat="false" ht="15" hidden="false" customHeight="false" outlineLevel="0" collapsed="false">
      <c r="A523" s="20" t="s">
        <v>1094</v>
      </c>
      <c r="B523" s="20" t="s">
        <v>751</v>
      </c>
      <c r="C523" s="20" t="s">
        <v>239</v>
      </c>
      <c r="D523" s="20" t="s">
        <v>65</v>
      </c>
      <c r="E523" s="20" t="s">
        <v>81</v>
      </c>
      <c r="F523" s="20" t="s">
        <v>67</v>
      </c>
      <c r="G523" s="20" t="n">
        <v>1</v>
      </c>
      <c r="H523" s="20" t="s">
        <v>135</v>
      </c>
      <c r="I523" s="20" t="s">
        <v>50</v>
      </c>
    </row>
    <row r="524" customFormat="false" ht="15" hidden="false" customHeight="false" outlineLevel="0" collapsed="false">
      <c r="A524" s="20" t="s">
        <v>1095</v>
      </c>
      <c r="B524" s="21" t="n">
        <v>46018</v>
      </c>
      <c r="C524" s="20" t="s">
        <v>1025</v>
      </c>
      <c r="D524" s="20" t="s">
        <v>59</v>
      </c>
      <c r="E524" s="20" t="s">
        <v>140</v>
      </c>
      <c r="F524" s="20" t="s">
        <v>93</v>
      </c>
      <c r="G524" s="20" t="n">
        <v>1</v>
      </c>
      <c r="H524" s="20" t="n">
        <v>15</v>
      </c>
      <c r="I524" s="20" t="s">
        <v>50</v>
      </c>
    </row>
    <row r="525" customFormat="false" ht="15" hidden="false" customHeight="false" outlineLevel="0" collapsed="false">
      <c r="A525" s="20" t="s">
        <v>1096</v>
      </c>
      <c r="B525" s="20" t="s">
        <v>1097</v>
      </c>
      <c r="C525" s="20" t="s">
        <v>447</v>
      </c>
      <c r="D525" s="20" t="s">
        <v>47</v>
      </c>
      <c r="E525" s="20" t="s">
        <v>120</v>
      </c>
      <c r="F525" s="20" t="s">
        <v>236</v>
      </c>
      <c r="G525" s="20" t="n">
        <v>3</v>
      </c>
      <c r="H525" s="20" t="s">
        <v>242</v>
      </c>
      <c r="I525" s="20" t="s">
        <v>50</v>
      </c>
    </row>
    <row r="526" customFormat="false" ht="15" hidden="false" customHeight="false" outlineLevel="0" collapsed="false">
      <c r="A526" s="20" t="s">
        <v>1098</v>
      </c>
      <c r="B526" s="20" t="s">
        <v>899</v>
      </c>
      <c r="C526" s="20" t="s">
        <v>210</v>
      </c>
      <c r="D526" s="20" t="s">
        <v>222</v>
      </c>
      <c r="E526" s="20" t="s">
        <v>81</v>
      </c>
      <c r="F526" s="20" t="s">
        <v>61</v>
      </c>
      <c r="G526" s="20" t="n">
        <v>2</v>
      </c>
      <c r="H526" s="20" t="n">
        <v>35</v>
      </c>
      <c r="I526" s="20" t="s">
        <v>50</v>
      </c>
    </row>
    <row r="527" customFormat="false" ht="15" hidden="false" customHeight="false" outlineLevel="0" collapsed="false">
      <c r="A527" s="20" t="s">
        <v>1099</v>
      </c>
      <c r="B527" s="20" t="s">
        <v>1100</v>
      </c>
      <c r="C527" s="20" t="s">
        <v>447</v>
      </c>
      <c r="D527" s="20" t="s">
        <v>202</v>
      </c>
      <c r="E527" s="20" t="s">
        <v>92</v>
      </c>
      <c r="F527" s="20" t="s">
        <v>196</v>
      </c>
      <c r="G527" s="20" t="n">
        <v>1</v>
      </c>
      <c r="H527" s="20" t="n">
        <v>89</v>
      </c>
      <c r="I527" s="20" t="s">
        <v>163</v>
      </c>
    </row>
    <row r="528" customFormat="false" ht="15" hidden="false" customHeight="false" outlineLevel="0" collapsed="false">
      <c r="A528" s="20" t="s">
        <v>1101</v>
      </c>
      <c r="B528" s="20" t="s">
        <v>1102</v>
      </c>
      <c r="C528" s="20" t="s">
        <v>444</v>
      </c>
      <c r="D528" s="20" t="s">
        <v>47</v>
      </c>
      <c r="E528" s="20" t="s">
        <v>81</v>
      </c>
      <c r="F528" s="20" t="s">
        <v>82</v>
      </c>
      <c r="G528" s="20" t="n">
        <v>1</v>
      </c>
      <c r="H528" s="20" t="n">
        <v>22</v>
      </c>
      <c r="I528" s="20" t="s">
        <v>50</v>
      </c>
    </row>
    <row r="529" customFormat="false" ht="15" hidden="false" customHeight="false" outlineLevel="0" collapsed="false">
      <c r="A529" s="20" t="s">
        <v>1103</v>
      </c>
      <c r="B529" s="20" t="s">
        <v>1104</v>
      </c>
      <c r="C529" s="20" t="s">
        <v>338</v>
      </c>
      <c r="D529" s="20" t="s">
        <v>47</v>
      </c>
      <c r="E529" s="20" t="s">
        <v>110</v>
      </c>
      <c r="F529" s="20" t="s">
        <v>121</v>
      </c>
      <c r="G529" s="20" t="n">
        <v>1</v>
      </c>
      <c r="H529" s="20" t="n">
        <v>21</v>
      </c>
      <c r="I529" s="20" t="s">
        <v>112</v>
      </c>
    </row>
    <row r="530" customFormat="false" ht="15" hidden="false" customHeight="false" outlineLevel="0" collapsed="false">
      <c r="A530" s="20" t="s">
        <v>1105</v>
      </c>
      <c r="B530" s="20" t="s">
        <v>1106</v>
      </c>
      <c r="C530" s="20" t="s">
        <v>214</v>
      </c>
      <c r="D530" s="20" t="s">
        <v>1014</v>
      </c>
      <c r="E530" s="20" t="s">
        <v>110</v>
      </c>
      <c r="F530" s="20" t="s">
        <v>121</v>
      </c>
      <c r="G530" s="20" t="n">
        <v>2</v>
      </c>
      <c r="H530" s="20" t="n">
        <v>21</v>
      </c>
      <c r="I530" s="20" t="s">
        <v>50</v>
      </c>
    </row>
    <row r="531" customFormat="false" ht="15" hidden="false" customHeight="false" outlineLevel="0" collapsed="false">
      <c r="A531" s="20" t="s">
        <v>1107</v>
      </c>
      <c r="B531" s="21" t="n">
        <v>46016</v>
      </c>
      <c r="C531" s="20" t="s">
        <v>192</v>
      </c>
      <c r="D531" s="20" t="s">
        <v>65</v>
      </c>
      <c r="E531" s="20" t="s">
        <v>81</v>
      </c>
      <c r="F531" s="20" t="s">
        <v>61</v>
      </c>
      <c r="G531" s="20" t="n">
        <v>1</v>
      </c>
      <c r="H531" s="20" t="n">
        <v>35</v>
      </c>
      <c r="I531" s="20" t="s">
        <v>50</v>
      </c>
    </row>
    <row r="532" customFormat="false" ht="15" hidden="false" customHeight="false" outlineLevel="0" collapsed="false">
      <c r="A532" s="20" t="s">
        <v>1108</v>
      </c>
      <c r="B532" s="20" t="s">
        <v>342</v>
      </c>
      <c r="C532" s="20" t="s">
        <v>174</v>
      </c>
      <c r="D532" s="20" t="s">
        <v>70</v>
      </c>
      <c r="E532" s="20" t="s">
        <v>48</v>
      </c>
      <c r="F532" s="20" t="s">
        <v>49</v>
      </c>
      <c r="G532" s="20" t="n">
        <v>1</v>
      </c>
      <c r="H532" s="20" t="s">
        <v>180</v>
      </c>
      <c r="I532" s="20" t="s">
        <v>50</v>
      </c>
    </row>
    <row r="533" customFormat="false" ht="15" hidden="false" customHeight="false" outlineLevel="0" collapsed="false">
      <c r="A533" s="20" t="s">
        <v>1109</v>
      </c>
      <c r="B533" s="20" t="s">
        <v>1110</v>
      </c>
      <c r="C533" s="20" t="s">
        <v>377</v>
      </c>
      <c r="D533" s="20" t="s">
        <v>70</v>
      </c>
      <c r="E533" s="20" t="s">
        <v>81</v>
      </c>
      <c r="F533" s="20" t="s">
        <v>82</v>
      </c>
      <c r="G533" s="20" t="n">
        <v>1</v>
      </c>
      <c r="H533" s="20" t="n">
        <v>22</v>
      </c>
      <c r="I533" s="20" t="s">
        <v>50</v>
      </c>
    </row>
    <row r="534" customFormat="false" ht="15" hidden="false" customHeight="false" outlineLevel="0" collapsed="false">
      <c r="A534" s="20" t="s">
        <v>1111</v>
      </c>
      <c r="B534" s="20" t="s">
        <v>1112</v>
      </c>
      <c r="C534" s="20" t="s">
        <v>447</v>
      </c>
      <c r="D534" s="20" t="s">
        <v>70</v>
      </c>
      <c r="E534" s="20" t="s">
        <v>54</v>
      </c>
      <c r="F534" s="20" t="s">
        <v>76</v>
      </c>
      <c r="G534" s="20" t="n">
        <v>1</v>
      </c>
      <c r="H534" s="20" t="n">
        <v>32</v>
      </c>
      <c r="I534" s="20" t="s">
        <v>50</v>
      </c>
    </row>
    <row r="535" customFormat="false" ht="15" hidden="false" customHeight="false" outlineLevel="0" collapsed="false">
      <c r="A535" s="20" t="s">
        <v>1113</v>
      </c>
      <c r="B535" s="20" t="s">
        <v>1114</v>
      </c>
      <c r="C535" s="20" t="s">
        <v>464</v>
      </c>
      <c r="D535" s="20" t="s">
        <v>109</v>
      </c>
      <c r="E535" s="20" t="s">
        <v>48</v>
      </c>
      <c r="F535" s="20" t="s">
        <v>116</v>
      </c>
      <c r="G535" s="20" t="n">
        <v>2</v>
      </c>
      <c r="H535" s="20" t="n">
        <v>28</v>
      </c>
      <c r="I535" s="20" t="s">
        <v>50</v>
      </c>
    </row>
    <row r="536" customFormat="false" ht="15" hidden="false" customHeight="false" outlineLevel="0" collapsed="false">
      <c r="A536" s="20" t="s">
        <v>1115</v>
      </c>
      <c r="B536" s="21" t="n">
        <v>45936</v>
      </c>
      <c r="C536" s="20" t="s">
        <v>195</v>
      </c>
      <c r="D536" s="20" t="s">
        <v>301</v>
      </c>
      <c r="E536" s="20" t="s">
        <v>101</v>
      </c>
      <c r="F536" s="20" t="s">
        <v>144</v>
      </c>
      <c r="G536" s="20" t="n">
        <v>1</v>
      </c>
      <c r="H536" s="20" t="n">
        <v>54</v>
      </c>
      <c r="I536" s="20" t="s">
        <v>50</v>
      </c>
    </row>
    <row r="537" customFormat="false" ht="15" hidden="false" customHeight="false" outlineLevel="0" collapsed="false">
      <c r="A537" s="20" t="s">
        <v>1116</v>
      </c>
      <c r="B537" s="20" t="s">
        <v>979</v>
      </c>
      <c r="C537" s="20" t="s">
        <v>412</v>
      </c>
      <c r="D537" s="20" t="s">
        <v>282</v>
      </c>
      <c r="E537" s="20" t="s">
        <v>48</v>
      </c>
      <c r="F537" s="20" t="s">
        <v>144</v>
      </c>
      <c r="G537" s="20" t="n">
        <v>3</v>
      </c>
      <c r="H537" s="20" t="n">
        <v>54</v>
      </c>
      <c r="I537" s="20" t="s">
        <v>136</v>
      </c>
    </row>
    <row r="538" customFormat="false" ht="15" hidden="false" customHeight="false" outlineLevel="0" collapsed="false">
      <c r="A538" s="20" t="s">
        <v>1117</v>
      </c>
      <c r="B538" s="20" t="s">
        <v>1118</v>
      </c>
      <c r="C538" s="20" t="s">
        <v>156</v>
      </c>
      <c r="D538" s="20" t="s">
        <v>109</v>
      </c>
      <c r="E538" s="20" t="s">
        <v>81</v>
      </c>
      <c r="F538" s="20" t="s">
        <v>61</v>
      </c>
      <c r="G538" s="20" t="n">
        <v>3</v>
      </c>
      <c r="H538" s="20" t="n">
        <v>35</v>
      </c>
      <c r="I538" s="20" t="s">
        <v>112</v>
      </c>
    </row>
    <row r="539" customFormat="false" ht="15" hidden="false" customHeight="false" outlineLevel="0" collapsed="false">
      <c r="A539" s="20" t="s">
        <v>1119</v>
      </c>
      <c r="B539" s="20" t="s">
        <v>1120</v>
      </c>
      <c r="C539" s="20" t="s">
        <v>210</v>
      </c>
      <c r="D539" s="20" t="s">
        <v>47</v>
      </c>
      <c r="E539" s="20" t="s">
        <v>140</v>
      </c>
      <c r="F539" s="20" t="s">
        <v>105</v>
      </c>
      <c r="G539" s="20" t="n">
        <v>1</v>
      </c>
      <c r="H539" s="20" t="n">
        <v>49</v>
      </c>
      <c r="I539" s="20" t="s">
        <v>50</v>
      </c>
    </row>
    <row r="540" customFormat="false" ht="15" hidden="false" customHeight="false" outlineLevel="0" collapsed="false">
      <c r="A540" s="20" t="s">
        <v>1121</v>
      </c>
      <c r="B540" s="20" t="s">
        <v>646</v>
      </c>
      <c r="C540" s="20" t="s">
        <v>129</v>
      </c>
      <c r="D540" s="20" t="s">
        <v>222</v>
      </c>
      <c r="E540" s="20" t="s">
        <v>54</v>
      </c>
      <c r="F540" s="20" t="s">
        <v>72</v>
      </c>
      <c r="G540" s="20" t="n">
        <v>1</v>
      </c>
      <c r="H540" s="20" t="n">
        <v>24</v>
      </c>
      <c r="I540" s="20" t="s">
        <v>50</v>
      </c>
    </row>
    <row r="541" customFormat="false" ht="15" hidden="false" customHeight="false" outlineLevel="0" collapsed="false">
      <c r="A541" s="20" t="s">
        <v>1122</v>
      </c>
      <c r="B541" s="20" t="s">
        <v>1123</v>
      </c>
      <c r="C541" s="20" t="s">
        <v>286</v>
      </c>
      <c r="D541" s="20" t="s">
        <v>59</v>
      </c>
      <c r="E541" s="20" t="s">
        <v>54</v>
      </c>
      <c r="F541" s="20" t="s">
        <v>72</v>
      </c>
      <c r="G541" s="20" t="n">
        <v>1</v>
      </c>
      <c r="H541" s="20" t="n">
        <v>24</v>
      </c>
      <c r="I541" s="20" t="s">
        <v>163</v>
      </c>
    </row>
    <row r="542" customFormat="false" ht="15" hidden="false" customHeight="false" outlineLevel="0" collapsed="false">
      <c r="A542" s="20" t="s">
        <v>1124</v>
      </c>
      <c r="B542" s="20" t="s">
        <v>670</v>
      </c>
      <c r="C542" s="20" t="s">
        <v>286</v>
      </c>
      <c r="D542" s="20" t="s">
        <v>65</v>
      </c>
      <c r="E542" s="20" t="s">
        <v>81</v>
      </c>
      <c r="F542" s="20" t="s">
        <v>61</v>
      </c>
      <c r="G542" s="20" t="n">
        <v>2</v>
      </c>
      <c r="H542" s="20" t="n">
        <v>35</v>
      </c>
      <c r="I542" s="20" t="s">
        <v>50</v>
      </c>
    </row>
    <row r="543" customFormat="false" ht="15" hidden="false" customHeight="false" outlineLevel="0" collapsed="false">
      <c r="A543" s="20" t="s">
        <v>1125</v>
      </c>
      <c r="B543" s="20" t="s">
        <v>613</v>
      </c>
      <c r="C543" s="20" t="s">
        <v>422</v>
      </c>
      <c r="D543" s="20" t="s">
        <v>47</v>
      </c>
      <c r="E543" s="20" t="s">
        <v>81</v>
      </c>
      <c r="F543" s="20" t="s">
        <v>61</v>
      </c>
      <c r="G543" s="20" t="n">
        <v>3</v>
      </c>
      <c r="H543" s="20" t="n">
        <v>35</v>
      </c>
      <c r="I543" s="20" t="s">
        <v>50</v>
      </c>
    </row>
    <row r="544" customFormat="false" ht="15" hidden="false" customHeight="false" outlineLevel="0" collapsed="false">
      <c r="A544" s="20" t="s">
        <v>1126</v>
      </c>
      <c r="B544" s="20" t="s">
        <v>1127</v>
      </c>
      <c r="C544" s="20" t="s">
        <v>52</v>
      </c>
      <c r="D544" s="20" t="s">
        <v>47</v>
      </c>
      <c r="E544" s="20" t="s">
        <v>81</v>
      </c>
      <c r="F544" s="20" t="s">
        <v>82</v>
      </c>
      <c r="G544" s="20" t="n">
        <v>1</v>
      </c>
      <c r="H544" s="20" t="n">
        <v>22</v>
      </c>
      <c r="I544" s="20" t="s">
        <v>50</v>
      </c>
    </row>
    <row r="545" customFormat="false" ht="15" hidden="false" customHeight="false" outlineLevel="0" collapsed="false">
      <c r="A545" s="20" t="s">
        <v>1128</v>
      </c>
      <c r="B545" s="20" t="s">
        <v>1129</v>
      </c>
      <c r="C545" s="20" t="s">
        <v>174</v>
      </c>
      <c r="D545" s="20" t="s">
        <v>87</v>
      </c>
      <c r="E545" s="20" t="s">
        <v>120</v>
      </c>
      <c r="F545" s="20" t="s">
        <v>121</v>
      </c>
      <c r="G545" s="20" t="n">
        <v>1</v>
      </c>
      <c r="H545" s="20" t="n">
        <v>21</v>
      </c>
      <c r="I545" s="20" t="s">
        <v>50</v>
      </c>
    </row>
    <row r="546" customFormat="false" ht="15" hidden="false" customHeight="false" outlineLevel="0" collapsed="false">
      <c r="A546" s="20" t="s">
        <v>1130</v>
      </c>
      <c r="B546" s="21" t="n">
        <v>45854</v>
      </c>
      <c r="C546" s="20" t="s">
        <v>357</v>
      </c>
      <c r="D546" s="20" t="s">
        <v>253</v>
      </c>
      <c r="E546" s="20" t="s">
        <v>54</v>
      </c>
      <c r="F546" s="20" t="s">
        <v>76</v>
      </c>
      <c r="G546" s="20" t="n">
        <v>1</v>
      </c>
      <c r="H546" s="20" t="s">
        <v>77</v>
      </c>
      <c r="I546" s="20" t="s">
        <v>50</v>
      </c>
    </row>
    <row r="547" customFormat="false" ht="15" hidden="false" customHeight="false" outlineLevel="0" collapsed="false">
      <c r="A547" s="20" t="s">
        <v>1131</v>
      </c>
      <c r="B547" s="20" t="s">
        <v>1132</v>
      </c>
      <c r="C547" s="20" t="s">
        <v>1025</v>
      </c>
      <c r="D547" s="20" t="s">
        <v>109</v>
      </c>
      <c r="E547" s="20" t="s">
        <v>92</v>
      </c>
      <c r="F547" s="20" t="s">
        <v>105</v>
      </c>
      <c r="G547" s="20" t="n">
        <v>1</v>
      </c>
      <c r="H547" s="20" t="n">
        <v>49</v>
      </c>
      <c r="I547" s="20" t="s">
        <v>50</v>
      </c>
    </row>
    <row r="548" customFormat="false" ht="15" hidden="false" customHeight="false" outlineLevel="0" collapsed="false">
      <c r="A548" s="20" t="s">
        <v>1133</v>
      </c>
      <c r="B548" s="20" t="s">
        <v>541</v>
      </c>
      <c r="C548" s="20" t="s">
        <v>58</v>
      </c>
      <c r="D548" s="20" t="s">
        <v>47</v>
      </c>
      <c r="E548" s="20" t="s">
        <v>101</v>
      </c>
      <c r="F548" s="20" t="s">
        <v>144</v>
      </c>
      <c r="G548" s="20" t="n">
        <v>1</v>
      </c>
      <c r="H548" s="20" t="n">
        <v>54</v>
      </c>
      <c r="I548" s="20" t="s">
        <v>50</v>
      </c>
    </row>
    <row r="549" customFormat="false" ht="15" hidden="false" customHeight="false" outlineLevel="0" collapsed="false">
      <c r="A549" s="20" t="s">
        <v>1134</v>
      </c>
      <c r="B549" s="20" t="s">
        <v>1135</v>
      </c>
      <c r="C549" s="20" t="s">
        <v>1136</v>
      </c>
      <c r="D549" s="20" t="s">
        <v>59</v>
      </c>
      <c r="E549" s="20" t="s">
        <v>66</v>
      </c>
      <c r="F549" s="20" t="s">
        <v>61</v>
      </c>
      <c r="G549" s="20" t="n">
        <v>3</v>
      </c>
      <c r="H549" s="20" t="n">
        <v>35</v>
      </c>
      <c r="I549" s="20" t="s">
        <v>50</v>
      </c>
    </row>
    <row r="550" customFormat="false" ht="15" hidden="false" customHeight="false" outlineLevel="0" collapsed="false">
      <c r="A550" s="20" t="s">
        <v>1137</v>
      </c>
      <c r="B550" s="21" t="n">
        <v>45879</v>
      </c>
      <c r="C550" s="20" t="s">
        <v>147</v>
      </c>
      <c r="D550" s="20" t="s">
        <v>157</v>
      </c>
      <c r="E550" s="20" t="s">
        <v>54</v>
      </c>
      <c r="F550" s="20" t="s">
        <v>72</v>
      </c>
      <c r="G550" s="20" t="n">
        <v>2</v>
      </c>
      <c r="H550" s="20" t="n">
        <v>24</v>
      </c>
      <c r="I550" s="20" t="s">
        <v>50</v>
      </c>
    </row>
    <row r="551" customFormat="false" ht="15" hidden="false" customHeight="false" outlineLevel="0" collapsed="false">
      <c r="A551" s="20" t="s">
        <v>1138</v>
      </c>
      <c r="B551" s="20" t="s">
        <v>1139</v>
      </c>
      <c r="C551" s="20" t="s">
        <v>801</v>
      </c>
      <c r="D551" s="20" t="s">
        <v>59</v>
      </c>
      <c r="E551" s="20" t="s">
        <v>728</v>
      </c>
      <c r="F551" s="20" t="s">
        <v>93</v>
      </c>
      <c r="G551" s="20" t="n">
        <v>2</v>
      </c>
      <c r="H551" s="20" t="s">
        <v>94</v>
      </c>
      <c r="I551" s="20" t="s">
        <v>50</v>
      </c>
    </row>
    <row r="552" customFormat="false" ht="15" hidden="false" customHeight="false" outlineLevel="0" collapsed="false">
      <c r="A552" s="20" t="s">
        <v>1140</v>
      </c>
      <c r="B552" s="20" t="s">
        <v>734</v>
      </c>
      <c r="C552" s="20" t="s">
        <v>195</v>
      </c>
      <c r="D552" s="20" t="s">
        <v>59</v>
      </c>
      <c r="E552" s="20" t="s">
        <v>92</v>
      </c>
      <c r="F552" s="20" t="s">
        <v>93</v>
      </c>
      <c r="G552" s="20" t="n">
        <v>1</v>
      </c>
      <c r="H552" s="20" t="n">
        <v>15</v>
      </c>
      <c r="I552" s="20" t="s">
        <v>50</v>
      </c>
    </row>
    <row r="553" customFormat="false" ht="15" hidden="false" customHeight="false" outlineLevel="0" collapsed="false">
      <c r="A553" s="20" t="s">
        <v>1141</v>
      </c>
      <c r="B553" s="20" t="s">
        <v>1142</v>
      </c>
      <c r="C553" s="20" t="s">
        <v>227</v>
      </c>
      <c r="D553" s="20" t="s">
        <v>109</v>
      </c>
      <c r="E553" s="20" t="s">
        <v>81</v>
      </c>
      <c r="F553" s="20" t="s">
        <v>67</v>
      </c>
      <c r="G553" s="20" t="n">
        <v>1</v>
      </c>
      <c r="H553" s="20" t="n">
        <v>45</v>
      </c>
      <c r="I553" s="20" t="s">
        <v>50</v>
      </c>
    </row>
    <row r="554" customFormat="false" ht="15" hidden="false" customHeight="false" outlineLevel="0" collapsed="false">
      <c r="A554" s="20" t="s">
        <v>1143</v>
      </c>
      <c r="B554" s="20" t="s">
        <v>1144</v>
      </c>
      <c r="C554" s="20" t="s">
        <v>428</v>
      </c>
      <c r="D554" s="20" t="s">
        <v>70</v>
      </c>
      <c r="E554" s="20" t="s">
        <v>81</v>
      </c>
      <c r="F554" s="20" t="s">
        <v>82</v>
      </c>
      <c r="G554" s="20" t="n">
        <v>1</v>
      </c>
      <c r="H554" s="20" t="s">
        <v>154</v>
      </c>
      <c r="I554" s="20" t="s">
        <v>50</v>
      </c>
    </row>
    <row r="555" customFormat="false" ht="15" hidden="false" customHeight="false" outlineLevel="0" collapsed="false">
      <c r="A555" s="20" t="s">
        <v>1145</v>
      </c>
      <c r="B555" s="20" t="s">
        <v>1146</v>
      </c>
      <c r="C555" s="20" t="s">
        <v>801</v>
      </c>
      <c r="D555" s="20" t="s">
        <v>70</v>
      </c>
      <c r="E555" s="20" t="s">
        <v>81</v>
      </c>
      <c r="F555" s="20" t="s">
        <v>61</v>
      </c>
      <c r="G555" s="20" t="n">
        <v>1</v>
      </c>
      <c r="H555" s="20" t="n">
        <v>35</v>
      </c>
      <c r="I555" s="20" t="s">
        <v>50</v>
      </c>
    </row>
    <row r="556" customFormat="false" ht="15" hidden="false" customHeight="false" outlineLevel="0" collapsed="false">
      <c r="A556" s="20" t="s">
        <v>1147</v>
      </c>
      <c r="B556" s="20" t="s">
        <v>1148</v>
      </c>
      <c r="C556" s="20" t="s">
        <v>570</v>
      </c>
      <c r="D556" s="20" t="s">
        <v>47</v>
      </c>
      <c r="E556" s="20" t="s">
        <v>101</v>
      </c>
      <c r="F556" s="20" t="s">
        <v>116</v>
      </c>
      <c r="G556" s="20" t="n">
        <v>3</v>
      </c>
      <c r="H556" s="20" t="s">
        <v>162</v>
      </c>
      <c r="I556" s="20" t="s">
        <v>112</v>
      </c>
    </row>
    <row r="557" customFormat="false" ht="15" hidden="false" customHeight="false" outlineLevel="0" collapsed="false">
      <c r="A557" s="20" t="s">
        <v>1149</v>
      </c>
      <c r="B557" s="20" t="s">
        <v>1150</v>
      </c>
      <c r="C557" s="20" t="s">
        <v>348</v>
      </c>
      <c r="D557" s="20" t="s">
        <v>319</v>
      </c>
      <c r="E557" s="20" t="s">
        <v>728</v>
      </c>
      <c r="F557" s="20" t="s">
        <v>196</v>
      </c>
      <c r="G557" s="20" t="n">
        <v>1</v>
      </c>
      <c r="H557" s="20" t="n">
        <v>89</v>
      </c>
      <c r="I557" s="20" t="s">
        <v>50</v>
      </c>
    </row>
    <row r="558" customFormat="false" ht="15" hidden="false" customHeight="false" outlineLevel="0" collapsed="false">
      <c r="A558" s="20" t="s">
        <v>1151</v>
      </c>
      <c r="B558" s="20" t="s">
        <v>1152</v>
      </c>
      <c r="C558" s="20" t="s">
        <v>86</v>
      </c>
      <c r="D558" s="20" t="s">
        <v>157</v>
      </c>
      <c r="E558" s="20" t="s">
        <v>228</v>
      </c>
      <c r="F558" s="20" t="s">
        <v>116</v>
      </c>
      <c r="G558" s="20" t="n">
        <v>1</v>
      </c>
      <c r="H558" s="20" t="n">
        <v>28</v>
      </c>
      <c r="I558" s="20" t="s">
        <v>163</v>
      </c>
    </row>
    <row r="559" customFormat="false" ht="15" hidden="false" customHeight="false" outlineLevel="0" collapsed="false">
      <c r="A559" s="20" t="s">
        <v>1153</v>
      </c>
      <c r="B559" s="21" t="n">
        <v>45697</v>
      </c>
      <c r="C559" s="20" t="s">
        <v>624</v>
      </c>
      <c r="D559" s="20" t="s">
        <v>47</v>
      </c>
      <c r="E559" s="20" t="s">
        <v>505</v>
      </c>
      <c r="F559" s="20" t="s">
        <v>144</v>
      </c>
      <c r="G559" s="20" t="n">
        <v>4</v>
      </c>
      <c r="H559" s="20" t="n">
        <v>54</v>
      </c>
      <c r="I559" s="20" t="s">
        <v>50</v>
      </c>
    </row>
    <row r="560" customFormat="false" ht="15" hidden="false" customHeight="false" outlineLevel="0" collapsed="false">
      <c r="A560" s="20" t="s">
        <v>1154</v>
      </c>
      <c r="B560" s="20" t="s">
        <v>1155</v>
      </c>
      <c r="C560" s="20" t="s">
        <v>46</v>
      </c>
      <c r="D560" s="20" t="s">
        <v>253</v>
      </c>
      <c r="E560" s="20" t="s">
        <v>92</v>
      </c>
      <c r="F560" s="20" t="s">
        <v>105</v>
      </c>
      <c r="G560" s="20" t="n">
        <v>1</v>
      </c>
      <c r="H560" s="20" t="n">
        <v>49</v>
      </c>
      <c r="I560" s="20" t="s">
        <v>50</v>
      </c>
    </row>
    <row r="561" customFormat="false" ht="15" hidden="false" customHeight="false" outlineLevel="0" collapsed="false">
      <c r="A561" s="20" t="s">
        <v>1156</v>
      </c>
      <c r="B561" s="21" t="n">
        <v>45676</v>
      </c>
      <c r="C561" s="20" t="s">
        <v>192</v>
      </c>
      <c r="D561" s="20" t="s">
        <v>70</v>
      </c>
      <c r="E561" s="20" t="s">
        <v>292</v>
      </c>
      <c r="F561" s="20" t="s">
        <v>55</v>
      </c>
      <c r="G561" s="20" t="n">
        <v>1</v>
      </c>
      <c r="H561" s="20" t="n">
        <v>38</v>
      </c>
      <c r="I561" s="20" t="s">
        <v>163</v>
      </c>
    </row>
    <row r="562" customFormat="false" ht="15" hidden="false" customHeight="false" outlineLevel="0" collapsed="false">
      <c r="A562" s="20" t="s">
        <v>1157</v>
      </c>
      <c r="B562" s="20" t="s">
        <v>1158</v>
      </c>
      <c r="C562" s="20" t="s">
        <v>1010</v>
      </c>
      <c r="D562" s="20" t="s">
        <v>59</v>
      </c>
      <c r="E562" s="20" t="s">
        <v>92</v>
      </c>
      <c r="F562" s="20" t="s">
        <v>196</v>
      </c>
      <c r="G562" s="20" t="n">
        <v>1</v>
      </c>
      <c r="H562" s="20" t="s">
        <v>220</v>
      </c>
      <c r="I562" s="20" t="s">
        <v>50</v>
      </c>
    </row>
    <row r="563" customFormat="false" ht="15" hidden="false" customHeight="false" outlineLevel="0" collapsed="false">
      <c r="A563" s="20" t="s">
        <v>1159</v>
      </c>
      <c r="B563" s="20" t="s">
        <v>1160</v>
      </c>
      <c r="C563" s="20" t="s">
        <v>826</v>
      </c>
      <c r="D563" s="20" t="s">
        <v>59</v>
      </c>
      <c r="E563" s="20" t="s">
        <v>81</v>
      </c>
      <c r="F563" s="20" t="s">
        <v>61</v>
      </c>
      <c r="G563" s="20" t="n">
        <v>3</v>
      </c>
      <c r="H563" s="20" t="n">
        <v>35</v>
      </c>
      <c r="I563" s="20" t="s">
        <v>136</v>
      </c>
    </row>
    <row r="564" customFormat="false" ht="15" hidden="false" customHeight="false" outlineLevel="0" collapsed="false">
      <c r="A564" s="20" t="s">
        <v>1161</v>
      </c>
      <c r="B564" s="21" t="n">
        <v>45890</v>
      </c>
      <c r="C564" s="20" t="s">
        <v>447</v>
      </c>
      <c r="D564" s="20" t="s">
        <v>403</v>
      </c>
      <c r="E564" s="20" t="s">
        <v>110</v>
      </c>
      <c r="F564" s="20" t="s">
        <v>121</v>
      </c>
      <c r="G564" s="20" t="n">
        <v>1</v>
      </c>
      <c r="H564" s="20" t="n">
        <v>21</v>
      </c>
      <c r="I564" s="20" t="s">
        <v>136</v>
      </c>
    </row>
    <row r="565" customFormat="false" ht="15" hidden="false" customHeight="false" outlineLevel="0" collapsed="false">
      <c r="A565" s="20" t="s">
        <v>1162</v>
      </c>
      <c r="B565" s="21" t="n">
        <v>45873</v>
      </c>
      <c r="C565" s="20" t="s">
        <v>115</v>
      </c>
      <c r="D565" s="20" t="s">
        <v>59</v>
      </c>
      <c r="E565" s="20" t="s">
        <v>81</v>
      </c>
      <c r="F565" s="20" t="s">
        <v>82</v>
      </c>
      <c r="G565" s="20" t="n">
        <v>1</v>
      </c>
      <c r="H565" s="20" t="n">
        <v>22</v>
      </c>
      <c r="I565" s="20" t="s">
        <v>50</v>
      </c>
    </row>
    <row r="566" customFormat="false" ht="15" hidden="false" customHeight="false" outlineLevel="0" collapsed="false">
      <c r="A566" s="20" t="s">
        <v>1163</v>
      </c>
      <c r="B566" s="21" t="n">
        <v>45844</v>
      </c>
      <c r="C566" s="20" t="s">
        <v>250</v>
      </c>
      <c r="D566" s="20" t="s">
        <v>65</v>
      </c>
      <c r="E566" s="20" t="s">
        <v>92</v>
      </c>
      <c r="F566" s="20" t="s">
        <v>196</v>
      </c>
      <c r="G566" s="20" t="n">
        <v>1</v>
      </c>
      <c r="H566" s="20" t="n">
        <v>89</v>
      </c>
      <c r="I566" s="20" t="s">
        <v>50</v>
      </c>
    </row>
    <row r="567" customFormat="false" ht="15" hidden="false" customHeight="false" outlineLevel="0" collapsed="false">
      <c r="A567" s="20" t="s">
        <v>1164</v>
      </c>
      <c r="B567" s="20" t="s">
        <v>518</v>
      </c>
      <c r="C567" s="20" t="s">
        <v>502</v>
      </c>
      <c r="D567" s="20" t="s">
        <v>59</v>
      </c>
      <c r="E567" s="20" t="s">
        <v>81</v>
      </c>
      <c r="F567" s="20" t="s">
        <v>82</v>
      </c>
      <c r="G567" s="20" t="n">
        <v>3</v>
      </c>
      <c r="H567" s="20" t="n">
        <v>22</v>
      </c>
      <c r="I567" s="20" t="s">
        <v>50</v>
      </c>
    </row>
    <row r="568" customFormat="false" ht="15" hidden="false" customHeight="false" outlineLevel="0" collapsed="false">
      <c r="A568" s="20" t="s">
        <v>1165</v>
      </c>
      <c r="B568" s="20" t="s">
        <v>1166</v>
      </c>
      <c r="C568" s="20" t="s">
        <v>80</v>
      </c>
      <c r="D568" s="20" t="s">
        <v>47</v>
      </c>
      <c r="E568" s="20" t="s">
        <v>101</v>
      </c>
      <c r="F568" s="20" t="s">
        <v>49</v>
      </c>
      <c r="G568" s="20" t="n">
        <v>2</v>
      </c>
      <c r="H568" s="20" t="n">
        <v>18</v>
      </c>
      <c r="I568" s="20" t="s">
        <v>112</v>
      </c>
    </row>
    <row r="569" customFormat="false" ht="15" hidden="false" customHeight="false" outlineLevel="0" collapsed="false">
      <c r="A569" s="20" t="s">
        <v>1167</v>
      </c>
      <c r="B569" s="20" t="s">
        <v>1168</v>
      </c>
      <c r="C569" s="20" t="s">
        <v>431</v>
      </c>
      <c r="D569" s="20" t="s">
        <v>59</v>
      </c>
      <c r="E569" s="20" t="s">
        <v>81</v>
      </c>
      <c r="F569" s="20" t="s">
        <v>61</v>
      </c>
      <c r="G569" s="20" t="n">
        <v>3</v>
      </c>
      <c r="H569" s="20" t="s">
        <v>88</v>
      </c>
      <c r="I569" s="20" t="s">
        <v>50</v>
      </c>
    </row>
    <row r="570" customFormat="false" ht="15" hidden="false" customHeight="false" outlineLevel="0" collapsed="false">
      <c r="A570" s="20" t="s">
        <v>1169</v>
      </c>
      <c r="B570" s="20" t="s">
        <v>1170</v>
      </c>
      <c r="C570" s="20" t="s">
        <v>166</v>
      </c>
      <c r="D570" s="20" t="s">
        <v>47</v>
      </c>
      <c r="E570" s="20" t="s">
        <v>92</v>
      </c>
      <c r="F570" s="20" t="s">
        <v>196</v>
      </c>
      <c r="G570" s="20" t="n">
        <v>2</v>
      </c>
      <c r="H570" s="20" t="n">
        <v>89</v>
      </c>
      <c r="I570" s="20" t="s">
        <v>50</v>
      </c>
    </row>
    <row r="571" customFormat="false" ht="15" hidden="false" customHeight="false" outlineLevel="0" collapsed="false">
      <c r="A571" s="20" t="s">
        <v>1171</v>
      </c>
      <c r="B571" s="21" t="n">
        <v>45997</v>
      </c>
      <c r="C571" s="20" t="s">
        <v>375</v>
      </c>
      <c r="D571" s="20" t="s">
        <v>47</v>
      </c>
      <c r="E571" s="20" t="s">
        <v>48</v>
      </c>
      <c r="F571" s="20" t="s">
        <v>144</v>
      </c>
      <c r="G571" s="20" t="n">
        <v>1</v>
      </c>
      <c r="H571" s="20" t="n">
        <v>54</v>
      </c>
      <c r="I571" s="20" t="s">
        <v>50</v>
      </c>
    </row>
    <row r="572" customFormat="false" ht="15" hidden="false" customHeight="false" outlineLevel="0" collapsed="false">
      <c r="A572" s="20" t="s">
        <v>1172</v>
      </c>
      <c r="B572" s="20" t="s">
        <v>1173</v>
      </c>
      <c r="C572" s="20"/>
      <c r="D572" s="20" t="s">
        <v>59</v>
      </c>
      <c r="E572" s="20" t="s">
        <v>54</v>
      </c>
      <c r="F572" s="20" t="s">
        <v>55</v>
      </c>
      <c r="G572" s="20" t="n">
        <v>1</v>
      </c>
      <c r="H572" s="20" t="n">
        <v>38</v>
      </c>
      <c r="I572" s="20" t="s">
        <v>50</v>
      </c>
    </row>
    <row r="573" customFormat="false" ht="15" hidden="false" customHeight="false" outlineLevel="0" collapsed="false">
      <c r="A573" s="20" t="s">
        <v>1174</v>
      </c>
      <c r="B573" s="20" t="s">
        <v>1175</v>
      </c>
      <c r="C573" s="20" t="s">
        <v>332</v>
      </c>
      <c r="D573" s="20" t="s">
        <v>87</v>
      </c>
      <c r="E573" s="20" t="s">
        <v>297</v>
      </c>
      <c r="F573" s="20" t="s">
        <v>236</v>
      </c>
      <c r="G573" s="20" t="n">
        <v>2</v>
      </c>
      <c r="H573" s="20" t="s">
        <v>242</v>
      </c>
      <c r="I573" s="20" t="s">
        <v>50</v>
      </c>
    </row>
    <row r="574" customFormat="false" ht="15" hidden="false" customHeight="false" outlineLevel="0" collapsed="false">
      <c r="A574" s="20" t="s">
        <v>508</v>
      </c>
      <c r="B574" s="20" t="s">
        <v>509</v>
      </c>
      <c r="C574" s="20" t="s">
        <v>447</v>
      </c>
      <c r="D574" s="20" t="s">
        <v>47</v>
      </c>
      <c r="E574" s="20" t="s">
        <v>110</v>
      </c>
      <c r="F574" s="20" t="s">
        <v>121</v>
      </c>
      <c r="G574" s="20" t="n">
        <v>1</v>
      </c>
      <c r="H574" s="20" t="n">
        <v>21</v>
      </c>
      <c r="I574" s="20" t="s">
        <v>50</v>
      </c>
    </row>
    <row r="575" customFormat="false" ht="15" hidden="false" customHeight="false" outlineLevel="0" collapsed="false">
      <c r="A575" s="20" t="s">
        <v>1176</v>
      </c>
      <c r="B575" s="20" t="s">
        <v>1177</v>
      </c>
      <c r="C575" s="20" t="s">
        <v>177</v>
      </c>
      <c r="D575" s="20" t="s">
        <v>47</v>
      </c>
      <c r="E575" s="20" t="s">
        <v>110</v>
      </c>
      <c r="F575" s="20" t="s">
        <v>121</v>
      </c>
      <c r="G575" s="20" t="n">
        <v>1</v>
      </c>
      <c r="H575" s="20" t="n">
        <v>21</v>
      </c>
      <c r="I575" s="20" t="s">
        <v>50</v>
      </c>
    </row>
    <row r="576" customFormat="false" ht="15" hidden="false" customHeight="false" outlineLevel="0" collapsed="false">
      <c r="A576" s="20" t="s">
        <v>1178</v>
      </c>
      <c r="B576" s="21" t="n">
        <v>45689</v>
      </c>
      <c r="C576" s="20" t="s">
        <v>75</v>
      </c>
      <c r="D576" s="20" t="s">
        <v>59</v>
      </c>
      <c r="E576" s="20" t="s">
        <v>54</v>
      </c>
      <c r="F576" s="20" t="s">
        <v>55</v>
      </c>
      <c r="G576" s="20" t="n">
        <v>2</v>
      </c>
      <c r="H576" s="20" t="n">
        <v>38</v>
      </c>
      <c r="I576" s="20" t="s">
        <v>50</v>
      </c>
    </row>
    <row r="577" customFormat="false" ht="15" hidden="false" customHeight="false" outlineLevel="0" collapsed="false">
      <c r="A577" s="20" t="s">
        <v>1179</v>
      </c>
      <c r="B577" s="20" t="s">
        <v>1180</v>
      </c>
      <c r="C577" s="20" t="s">
        <v>442</v>
      </c>
      <c r="D577" s="20" t="s">
        <v>109</v>
      </c>
      <c r="E577" s="20" t="s">
        <v>228</v>
      </c>
      <c r="F577" s="20" t="s">
        <v>144</v>
      </c>
      <c r="G577" s="20" t="n">
        <v>2</v>
      </c>
      <c r="H577" s="20" t="s">
        <v>229</v>
      </c>
      <c r="I577" s="20" t="s">
        <v>50</v>
      </c>
    </row>
    <row r="578" customFormat="false" ht="15" hidden="false" customHeight="false" outlineLevel="0" collapsed="false">
      <c r="A578" s="20" t="s">
        <v>1181</v>
      </c>
      <c r="B578" s="20" t="s">
        <v>1100</v>
      </c>
      <c r="C578" s="20" t="s">
        <v>338</v>
      </c>
      <c r="D578" s="20" t="s">
        <v>59</v>
      </c>
      <c r="E578" s="20" t="s">
        <v>92</v>
      </c>
      <c r="F578" s="20" t="s">
        <v>196</v>
      </c>
      <c r="G578" s="20" t="n">
        <v>2</v>
      </c>
      <c r="H578" s="20" t="n">
        <v>89</v>
      </c>
      <c r="I578" s="20" t="s">
        <v>50</v>
      </c>
    </row>
    <row r="579" customFormat="false" ht="15" hidden="false" customHeight="false" outlineLevel="0" collapsed="false">
      <c r="A579" s="20" t="s">
        <v>1182</v>
      </c>
      <c r="B579" s="20" t="s">
        <v>1183</v>
      </c>
      <c r="C579" s="20" t="s">
        <v>548</v>
      </c>
      <c r="D579" s="20" t="s">
        <v>47</v>
      </c>
      <c r="E579" s="20" t="s">
        <v>110</v>
      </c>
      <c r="F579" s="20" t="s">
        <v>111</v>
      </c>
      <c r="G579" s="20" t="n">
        <v>2</v>
      </c>
      <c r="H579" s="20" t="s">
        <v>329</v>
      </c>
      <c r="I579" s="20" t="s">
        <v>50</v>
      </c>
    </row>
    <row r="580" customFormat="false" ht="15" hidden="false" customHeight="false" outlineLevel="0" collapsed="false">
      <c r="A580" s="20" t="s">
        <v>1184</v>
      </c>
      <c r="B580" s="20" t="s">
        <v>185</v>
      </c>
      <c r="C580" s="20" t="s">
        <v>578</v>
      </c>
      <c r="D580" s="20" t="s">
        <v>109</v>
      </c>
      <c r="E580" s="20" t="s">
        <v>297</v>
      </c>
      <c r="F580" s="20" t="s">
        <v>236</v>
      </c>
      <c r="G580" s="20" t="n">
        <v>1</v>
      </c>
      <c r="H580" s="20" t="n">
        <v>30</v>
      </c>
      <c r="I580" s="20" t="s">
        <v>50</v>
      </c>
    </row>
    <row r="581" customFormat="false" ht="15" hidden="false" customHeight="false" outlineLevel="0" collapsed="false">
      <c r="A581" s="20" t="s">
        <v>1185</v>
      </c>
      <c r="B581" s="20" t="s">
        <v>1186</v>
      </c>
      <c r="C581" s="20" t="s">
        <v>195</v>
      </c>
      <c r="D581" s="20" t="s">
        <v>65</v>
      </c>
      <c r="E581" s="20" t="s">
        <v>110</v>
      </c>
      <c r="F581" s="20" t="s">
        <v>236</v>
      </c>
      <c r="G581" s="20" t="n">
        <v>1</v>
      </c>
      <c r="H581" s="20" t="n">
        <v>30</v>
      </c>
      <c r="I581" s="20" t="s">
        <v>50</v>
      </c>
    </row>
    <row r="582" customFormat="false" ht="15" hidden="false" customHeight="false" outlineLevel="0" collapsed="false">
      <c r="A582" s="20" t="s">
        <v>1187</v>
      </c>
      <c r="B582" s="20" t="s">
        <v>1188</v>
      </c>
      <c r="C582" s="20" t="s">
        <v>476</v>
      </c>
      <c r="D582" s="20" t="s">
        <v>47</v>
      </c>
      <c r="E582" s="20" t="s">
        <v>207</v>
      </c>
      <c r="F582" s="20" t="s">
        <v>93</v>
      </c>
      <c r="G582" s="20" t="n">
        <v>1</v>
      </c>
      <c r="H582" s="20" t="n">
        <v>15</v>
      </c>
      <c r="I582" s="20" t="s">
        <v>112</v>
      </c>
    </row>
    <row r="583" customFormat="false" ht="15" hidden="false" customHeight="false" outlineLevel="0" collapsed="false">
      <c r="A583" s="20" t="s">
        <v>1189</v>
      </c>
      <c r="B583" s="20" t="s">
        <v>1190</v>
      </c>
      <c r="C583" s="20" t="s">
        <v>250</v>
      </c>
      <c r="D583" s="20" t="s">
        <v>65</v>
      </c>
      <c r="E583" s="20" t="s">
        <v>92</v>
      </c>
      <c r="F583" s="20" t="s">
        <v>105</v>
      </c>
      <c r="G583" s="20" t="n">
        <v>1</v>
      </c>
      <c r="H583" s="20" t="n">
        <v>49</v>
      </c>
      <c r="I583" s="20" t="s">
        <v>50</v>
      </c>
    </row>
    <row r="584" customFormat="false" ht="15" hidden="false" customHeight="false" outlineLevel="0" collapsed="false">
      <c r="A584" s="20" t="s">
        <v>1191</v>
      </c>
      <c r="B584" s="20" t="s">
        <v>1192</v>
      </c>
      <c r="C584" s="20" t="s">
        <v>86</v>
      </c>
      <c r="D584" s="20" t="s">
        <v>171</v>
      </c>
      <c r="E584" s="20" t="s">
        <v>110</v>
      </c>
      <c r="F584" s="20" t="s">
        <v>111</v>
      </c>
      <c r="G584" s="20" t="n">
        <v>2</v>
      </c>
      <c r="H584" s="20" t="n">
        <v>16</v>
      </c>
      <c r="I584" s="20" t="s">
        <v>50</v>
      </c>
    </row>
    <row r="585" customFormat="false" ht="15" hidden="false" customHeight="false" outlineLevel="0" collapsed="false">
      <c r="A585" s="20" t="s">
        <v>1193</v>
      </c>
      <c r="B585" s="20" t="s">
        <v>1194</v>
      </c>
      <c r="C585" s="20" t="s">
        <v>323</v>
      </c>
      <c r="D585" s="20" t="s">
        <v>70</v>
      </c>
      <c r="E585" s="20" t="s">
        <v>48</v>
      </c>
      <c r="F585" s="20" t="s">
        <v>116</v>
      </c>
      <c r="G585" s="20" t="n">
        <v>1</v>
      </c>
      <c r="H585" s="20" t="n">
        <v>28</v>
      </c>
      <c r="I585" s="20" t="s">
        <v>50</v>
      </c>
    </row>
    <row r="586" customFormat="false" ht="15" hidden="false" customHeight="false" outlineLevel="0" collapsed="false">
      <c r="A586" s="20" t="s">
        <v>1195</v>
      </c>
      <c r="B586" s="20" t="s">
        <v>1196</v>
      </c>
      <c r="C586" s="20" t="s">
        <v>1197</v>
      </c>
      <c r="D586" s="20" t="s">
        <v>59</v>
      </c>
      <c r="E586" s="20" t="s">
        <v>48</v>
      </c>
      <c r="F586" s="20" t="s">
        <v>116</v>
      </c>
      <c r="G586" s="20" t="n">
        <v>1</v>
      </c>
      <c r="H586" s="20" t="n">
        <v>28</v>
      </c>
      <c r="I586" s="20" t="s">
        <v>50</v>
      </c>
    </row>
    <row r="587" customFormat="false" ht="15" hidden="false" customHeight="false" outlineLevel="0" collapsed="false">
      <c r="A587" s="20" t="s">
        <v>1198</v>
      </c>
      <c r="B587" s="20" t="s">
        <v>594</v>
      </c>
      <c r="C587" s="20" t="s">
        <v>362</v>
      </c>
      <c r="D587" s="20" t="s">
        <v>47</v>
      </c>
      <c r="E587" s="20" t="s">
        <v>54</v>
      </c>
      <c r="F587" s="20" t="s">
        <v>76</v>
      </c>
      <c r="G587" s="20" t="n">
        <v>1</v>
      </c>
      <c r="H587" s="20" t="n">
        <v>32</v>
      </c>
      <c r="I587" s="20" t="s">
        <v>50</v>
      </c>
    </row>
    <row r="588" customFormat="false" ht="15" hidden="false" customHeight="false" outlineLevel="0" collapsed="false">
      <c r="A588" s="20" t="s">
        <v>1199</v>
      </c>
      <c r="B588" s="20" t="s">
        <v>1200</v>
      </c>
      <c r="C588" s="20" t="s">
        <v>444</v>
      </c>
      <c r="D588" s="20" t="s">
        <v>157</v>
      </c>
      <c r="E588" s="20" t="s">
        <v>48</v>
      </c>
      <c r="F588" s="20" t="s">
        <v>144</v>
      </c>
      <c r="G588" s="20" t="n">
        <v>1</v>
      </c>
      <c r="H588" s="20" t="n">
        <v>54</v>
      </c>
      <c r="I588" s="20" t="s">
        <v>50</v>
      </c>
    </row>
    <row r="589" customFormat="false" ht="15" hidden="false" customHeight="false" outlineLevel="0" collapsed="false">
      <c r="A589" s="20" t="s">
        <v>1201</v>
      </c>
      <c r="B589" s="20" t="s">
        <v>1202</v>
      </c>
      <c r="C589" s="20" t="s">
        <v>108</v>
      </c>
      <c r="D589" s="20" t="s">
        <v>47</v>
      </c>
      <c r="E589" s="20" t="s">
        <v>81</v>
      </c>
      <c r="F589" s="20" t="s">
        <v>61</v>
      </c>
      <c r="G589" s="20" t="n">
        <v>2</v>
      </c>
      <c r="H589" s="20" t="n">
        <v>35</v>
      </c>
      <c r="I589" s="20" t="s">
        <v>50</v>
      </c>
    </row>
    <row r="590" customFormat="false" ht="15" hidden="false" customHeight="false" outlineLevel="0" collapsed="false">
      <c r="A590" s="20" t="s">
        <v>1203</v>
      </c>
      <c r="B590" s="20" t="s">
        <v>766</v>
      </c>
      <c r="C590" s="20" t="s">
        <v>224</v>
      </c>
      <c r="D590" s="20" t="s">
        <v>47</v>
      </c>
      <c r="E590" s="20" t="s">
        <v>505</v>
      </c>
      <c r="F590" s="20" t="s">
        <v>116</v>
      </c>
      <c r="G590" s="20" t="n">
        <v>1</v>
      </c>
      <c r="H590" s="20" t="n">
        <v>28</v>
      </c>
      <c r="I590" s="20" t="s">
        <v>112</v>
      </c>
    </row>
    <row r="591" customFormat="false" ht="15" hidden="false" customHeight="false" outlineLevel="0" collapsed="false">
      <c r="A591" s="20" t="s">
        <v>1204</v>
      </c>
      <c r="B591" s="20" t="s">
        <v>1205</v>
      </c>
      <c r="C591" s="20" t="s">
        <v>161</v>
      </c>
      <c r="D591" s="20" t="s">
        <v>47</v>
      </c>
      <c r="E591" s="20" t="s">
        <v>81</v>
      </c>
      <c r="F591" s="20" t="s">
        <v>61</v>
      </c>
      <c r="G591" s="20" t="n">
        <v>1</v>
      </c>
      <c r="H591" s="20" t="s">
        <v>88</v>
      </c>
      <c r="I591" s="20" t="s">
        <v>50</v>
      </c>
    </row>
    <row r="592" customFormat="false" ht="15" hidden="false" customHeight="false" outlineLevel="0" collapsed="false">
      <c r="A592" s="20" t="s">
        <v>797</v>
      </c>
      <c r="B592" s="20" t="s">
        <v>798</v>
      </c>
      <c r="C592" s="20" t="s">
        <v>519</v>
      </c>
      <c r="D592" s="20" t="s">
        <v>109</v>
      </c>
      <c r="E592" s="20" t="s">
        <v>81</v>
      </c>
      <c r="F592" s="20" t="s">
        <v>61</v>
      </c>
      <c r="G592" s="20" t="n">
        <v>3</v>
      </c>
      <c r="H592" s="20" t="n">
        <v>35</v>
      </c>
      <c r="I592" s="20" t="s">
        <v>50</v>
      </c>
    </row>
    <row r="593" customFormat="false" ht="15" hidden="false" customHeight="false" outlineLevel="0" collapsed="false">
      <c r="A593" s="20" t="s">
        <v>1206</v>
      </c>
      <c r="B593" s="20" t="s">
        <v>1207</v>
      </c>
      <c r="C593" s="20" t="s">
        <v>801</v>
      </c>
      <c r="D593" s="20" t="s">
        <v>47</v>
      </c>
      <c r="E593" s="20" t="s">
        <v>140</v>
      </c>
      <c r="F593" s="20" t="s">
        <v>105</v>
      </c>
      <c r="G593" s="20" t="n">
        <v>1</v>
      </c>
      <c r="H593" s="20" t="n">
        <v>49</v>
      </c>
      <c r="I593" s="20" t="s">
        <v>50</v>
      </c>
    </row>
    <row r="594" customFormat="false" ht="15" hidden="false" customHeight="false" outlineLevel="0" collapsed="false">
      <c r="A594" s="20" t="s">
        <v>1208</v>
      </c>
      <c r="B594" s="20" t="s">
        <v>45</v>
      </c>
      <c r="C594" s="20" t="s">
        <v>801</v>
      </c>
      <c r="D594" s="20" t="s">
        <v>70</v>
      </c>
      <c r="E594" s="20" t="s">
        <v>167</v>
      </c>
      <c r="F594" s="20" t="s">
        <v>55</v>
      </c>
      <c r="G594" s="20" t="n">
        <v>2</v>
      </c>
      <c r="H594" s="20" t="n">
        <v>38</v>
      </c>
      <c r="I594" s="20" t="s">
        <v>50</v>
      </c>
    </row>
    <row r="595" customFormat="false" ht="15" hidden="false" customHeight="false" outlineLevel="0" collapsed="false">
      <c r="A595" s="20" t="s">
        <v>1209</v>
      </c>
      <c r="B595" s="20" t="s">
        <v>780</v>
      </c>
      <c r="C595" s="20" t="s">
        <v>616</v>
      </c>
      <c r="D595" s="20" t="s">
        <v>59</v>
      </c>
      <c r="E595" s="20" t="s">
        <v>54</v>
      </c>
      <c r="F595" s="20" t="s">
        <v>55</v>
      </c>
      <c r="G595" s="20" t="n">
        <v>1</v>
      </c>
      <c r="H595" s="20" t="n">
        <v>38</v>
      </c>
      <c r="I595" s="20" t="s">
        <v>163</v>
      </c>
    </row>
    <row r="596" customFormat="false" ht="15" hidden="false" customHeight="false" outlineLevel="0" collapsed="false">
      <c r="A596" s="20" t="s">
        <v>1210</v>
      </c>
      <c r="B596" s="20" t="s">
        <v>182</v>
      </c>
      <c r="C596" s="20" t="s">
        <v>189</v>
      </c>
      <c r="D596" s="20" t="s">
        <v>59</v>
      </c>
      <c r="E596" s="20" t="s">
        <v>48</v>
      </c>
      <c r="F596" s="20" t="s">
        <v>49</v>
      </c>
      <c r="G596" s="20" t="n">
        <v>1</v>
      </c>
      <c r="H596" s="20" t="n">
        <v>18</v>
      </c>
      <c r="I596" s="20" t="s">
        <v>50</v>
      </c>
    </row>
    <row r="597" customFormat="false" ht="15" hidden="false" customHeight="false" outlineLevel="0" collapsed="false">
      <c r="A597" s="20" t="s">
        <v>1211</v>
      </c>
      <c r="B597" s="20" t="s">
        <v>1212</v>
      </c>
      <c r="C597" s="20" t="s">
        <v>250</v>
      </c>
      <c r="D597" s="20" t="s">
        <v>403</v>
      </c>
      <c r="E597" s="20" t="s">
        <v>54</v>
      </c>
      <c r="F597" s="20" t="s">
        <v>76</v>
      </c>
      <c r="G597" s="20" t="n">
        <v>2</v>
      </c>
      <c r="H597" s="20" t="n">
        <v>32</v>
      </c>
      <c r="I597" s="20" t="s">
        <v>50</v>
      </c>
    </row>
    <row r="598" customFormat="false" ht="15" hidden="false" customHeight="false" outlineLevel="0" collapsed="false">
      <c r="A598" s="20" t="s">
        <v>1213</v>
      </c>
      <c r="B598" s="20" t="s">
        <v>607</v>
      </c>
      <c r="C598" s="20" t="s">
        <v>402</v>
      </c>
      <c r="D598" s="20" t="s">
        <v>47</v>
      </c>
      <c r="E598" s="20" t="s">
        <v>92</v>
      </c>
      <c r="F598" s="20" t="s">
        <v>105</v>
      </c>
      <c r="G598" s="20" t="n">
        <v>3</v>
      </c>
      <c r="H598" s="20" t="n">
        <v>49</v>
      </c>
      <c r="I598" s="20" t="s">
        <v>50</v>
      </c>
    </row>
    <row r="599" customFormat="false" ht="15" hidden="false" customHeight="false" outlineLevel="0" collapsed="false">
      <c r="A599" s="20" t="s">
        <v>1214</v>
      </c>
      <c r="B599" s="20" t="s">
        <v>366</v>
      </c>
      <c r="C599" s="20" t="s">
        <v>377</v>
      </c>
      <c r="D599" s="20" t="s">
        <v>65</v>
      </c>
      <c r="E599" s="20" t="s">
        <v>297</v>
      </c>
      <c r="F599" s="20" t="s">
        <v>236</v>
      </c>
      <c r="G599" s="20" t="n">
        <v>2</v>
      </c>
      <c r="H599" s="20" t="n">
        <v>30</v>
      </c>
      <c r="I599" s="20" t="s">
        <v>50</v>
      </c>
    </row>
    <row r="600" customFormat="false" ht="15" hidden="false" customHeight="false" outlineLevel="0" collapsed="false">
      <c r="A600" s="20" t="s">
        <v>1215</v>
      </c>
      <c r="B600" s="20" t="s">
        <v>896</v>
      </c>
      <c r="C600" s="20" t="s">
        <v>129</v>
      </c>
      <c r="D600" s="20" t="s">
        <v>319</v>
      </c>
      <c r="E600" s="20" t="s">
        <v>48</v>
      </c>
      <c r="F600" s="20" t="s">
        <v>116</v>
      </c>
      <c r="G600" s="20" t="n">
        <v>1</v>
      </c>
      <c r="H600" s="20" t="n">
        <v>28</v>
      </c>
      <c r="I600" s="20" t="s">
        <v>163</v>
      </c>
    </row>
    <row r="601" customFormat="false" ht="15" hidden="false" customHeight="false" outlineLevel="0" collapsed="false">
      <c r="A601" s="20" t="s">
        <v>1216</v>
      </c>
      <c r="B601" s="20" t="s">
        <v>1217</v>
      </c>
      <c r="C601" s="20" t="s">
        <v>415</v>
      </c>
      <c r="D601" s="20" t="s">
        <v>47</v>
      </c>
      <c r="E601" s="20" t="s">
        <v>92</v>
      </c>
      <c r="F601" s="20" t="s">
        <v>196</v>
      </c>
      <c r="G601" s="20" t="n">
        <v>3</v>
      </c>
      <c r="H601" s="20" t="n">
        <v>89</v>
      </c>
      <c r="I601" s="20" t="s">
        <v>50</v>
      </c>
    </row>
    <row r="602" customFormat="false" ht="15" hidden="false" customHeight="false" outlineLevel="0" collapsed="false">
      <c r="A602" s="20" t="s">
        <v>1218</v>
      </c>
      <c r="B602" s="20" t="s">
        <v>1219</v>
      </c>
      <c r="C602" s="20" t="s">
        <v>323</v>
      </c>
      <c r="D602" s="20" t="s">
        <v>109</v>
      </c>
      <c r="E602" s="20" t="s">
        <v>92</v>
      </c>
      <c r="F602" s="20" t="s">
        <v>93</v>
      </c>
      <c r="G602" s="20" t="n">
        <v>2</v>
      </c>
      <c r="H602" s="20" t="n">
        <v>15</v>
      </c>
      <c r="I602" s="20" t="s">
        <v>50</v>
      </c>
    </row>
    <row r="603" customFormat="false" ht="15" hidden="false" customHeight="false" outlineLevel="0" collapsed="false">
      <c r="A603" s="20" t="s">
        <v>1220</v>
      </c>
      <c r="B603" s="20" t="s">
        <v>1104</v>
      </c>
      <c r="C603" s="20" t="s">
        <v>1221</v>
      </c>
      <c r="D603" s="20" t="s">
        <v>109</v>
      </c>
      <c r="E603" s="20" t="s">
        <v>110</v>
      </c>
      <c r="F603" s="20" t="s">
        <v>121</v>
      </c>
      <c r="G603" s="20" t="n">
        <v>2</v>
      </c>
      <c r="H603" s="20" t="s">
        <v>122</v>
      </c>
      <c r="I603" s="20" t="s">
        <v>112</v>
      </c>
    </row>
    <row r="604" customFormat="false" ht="15" hidden="false" customHeight="false" outlineLevel="0" collapsed="false">
      <c r="A604" s="20" t="s">
        <v>1222</v>
      </c>
      <c r="B604" s="20" t="s">
        <v>1223</v>
      </c>
      <c r="C604" s="20" t="s">
        <v>227</v>
      </c>
      <c r="D604" s="20" t="s">
        <v>47</v>
      </c>
      <c r="E604" s="20" t="s">
        <v>292</v>
      </c>
      <c r="F604" s="20" t="s">
        <v>72</v>
      </c>
      <c r="G604" s="20" t="n">
        <v>1</v>
      </c>
      <c r="H604" s="20" t="n">
        <v>24</v>
      </c>
      <c r="I604" s="20" t="s">
        <v>50</v>
      </c>
    </row>
    <row r="605" customFormat="false" ht="15" hidden="false" customHeight="false" outlineLevel="0" collapsed="false">
      <c r="A605" s="20" t="s">
        <v>1224</v>
      </c>
      <c r="B605" s="20" t="s">
        <v>1173</v>
      </c>
      <c r="C605" s="20" t="s">
        <v>300</v>
      </c>
      <c r="D605" s="20" t="s">
        <v>301</v>
      </c>
      <c r="E605" s="20" t="s">
        <v>81</v>
      </c>
      <c r="F605" s="20" t="s">
        <v>61</v>
      </c>
      <c r="G605" s="20" t="n">
        <v>2</v>
      </c>
      <c r="H605" s="20" t="s">
        <v>88</v>
      </c>
      <c r="I605" s="20" t="s">
        <v>50</v>
      </c>
    </row>
    <row r="606" customFormat="false" ht="15" hidden="false" customHeight="false" outlineLevel="0" collapsed="false">
      <c r="A606" s="20" t="s">
        <v>1225</v>
      </c>
      <c r="B606" s="21" t="n">
        <v>45679</v>
      </c>
      <c r="C606" s="20" t="s">
        <v>233</v>
      </c>
      <c r="D606" s="20" t="s">
        <v>70</v>
      </c>
      <c r="E606" s="20" t="s">
        <v>60</v>
      </c>
      <c r="F606" s="20" t="s">
        <v>61</v>
      </c>
      <c r="G606" s="20" t="n">
        <v>1</v>
      </c>
      <c r="H606" s="20" t="n">
        <v>35</v>
      </c>
      <c r="I606" s="20" t="s">
        <v>136</v>
      </c>
    </row>
    <row r="607" customFormat="false" ht="15" hidden="false" customHeight="false" outlineLevel="0" collapsed="false">
      <c r="A607" s="20" t="s">
        <v>1226</v>
      </c>
      <c r="B607" s="20" t="s">
        <v>830</v>
      </c>
      <c r="C607" s="20" t="s">
        <v>119</v>
      </c>
      <c r="D607" s="20" t="s">
        <v>109</v>
      </c>
      <c r="E607" s="20" t="s">
        <v>110</v>
      </c>
      <c r="F607" s="20" t="s">
        <v>111</v>
      </c>
      <c r="G607" s="20" t="n">
        <v>2</v>
      </c>
      <c r="H607" s="20" t="n">
        <v>16</v>
      </c>
      <c r="I607" s="20" t="s">
        <v>136</v>
      </c>
    </row>
    <row r="608" customFormat="false" ht="15" hidden="false" customHeight="false" outlineLevel="0" collapsed="false">
      <c r="A608" s="20" t="s">
        <v>1227</v>
      </c>
      <c r="B608" s="20" t="s">
        <v>677</v>
      </c>
      <c r="C608" s="20" t="s">
        <v>161</v>
      </c>
      <c r="D608" s="20" t="s">
        <v>59</v>
      </c>
      <c r="E608" s="20" t="s">
        <v>66</v>
      </c>
      <c r="F608" s="20" t="s">
        <v>82</v>
      </c>
      <c r="G608" s="20" t="n">
        <v>1</v>
      </c>
      <c r="H608" s="20" t="n">
        <v>22</v>
      </c>
      <c r="I608" s="20" t="s">
        <v>112</v>
      </c>
    </row>
    <row r="609" customFormat="false" ht="15" hidden="false" customHeight="false" outlineLevel="0" collapsed="false">
      <c r="A609" s="20" t="s">
        <v>1228</v>
      </c>
      <c r="B609" s="20" t="s">
        <v>1229</v>
      </c>
      <c r="C609" s="20" t="s">
        <v>233</v>
      </c>
      <c r="D609" s="20" t="s">
        <v>47</v>
      </c>
      <c r="E609" s="20" t="s">
        <v>48</v>
      </c>
      <c r="F609" s="20" t="s">
        <v>116</v>
      </c>
      <c r="G609" s="20" t="n">
        <v>1</v>
      </c>
      <c r="H609" s="20" t="n">
        <v>28</v>
      </c>
      <c r="I609" s="20" t="s">
        <v>50</v>
      </c>
    </row>
    <row r="610" customFormat="false" ht="15" hidden="false" customHeight="false" outlineLevel="0" collapsed="false">
      <c r="A610" s="20" t="s">
        <v>1230</v>
      </c>
      <c r="B610" s="20" t="s">
        <v>1231</v>
      </c>
      <c r="C610" s="20" t="s">
        <v>494</v>
      </c>
      <c r="D610" s="20" t="s">
        <v>59</v>
      </c>
      <c r="E610" s="20" t="s">
        <v>48</v>
      </c>
      <c r="F610" s="20" t="s">
        <v>49</v>
      </c>
      <c r="G610" s="20" t="n">
        <v>1</v>
      </c>
      <c r="H610" s="20" t="s">
        <v>180</v>
      </c>
      <c r="I610" s="20" t="s">
        <v>112</v>
      </c>
    </row>
    <row r="611" customFormat="false" ht="15" hidden="false" customHeight="false" outlineLevel="0" collapsed="false">
      <c r="A611" s="20" t="s">
        <v>1232</v>
      </c>
      <c r="B611" s="20" t="s">
        <v>1233</v>
      </c>
      <c r="C611" s="20" t="s">
        <v>296</v>
      </c>
      <c r="D611" s="20" t="s">
        <v>65</v>
      </c>
      <c r="E611" s="20" t="s">
        <v>92</v>
      </c>
      <c r="F611" s="20" t="s">
        <v>196</v>
      </c>
      <c r="G611" s="20" t="n">
        <v>1</v>
      </c>
      <c r="H611" s="20" t="n">
        <v>89</v>
      </c>
      <c r="I611" s="20" t="s">
        <v>50</v>
      </c>
    </row>
    <row r="612" customFormat="false" ht="15" hidden="false" customHeight="false" outlineLevel="0" collapsed="false">
      <c r="A612" s="20" t="s">
        <v>1234</v>
      </c>
      <c r="B612" s="21" t="n">
        <v>45942</v>
      </c>
      <c r="C612" s="20" t="s">
        <v>1197</v>
      </c>
      <c r="D612" s="20" t="s">
        <v>59</v>
      </c>
      <c r="E612" s="20" t="s">
        <v>48</v>
      </c>
      <c r="F612" s="20" t="s">
        <v>116</v>
      </c>
      <c r="G612" s="20" t="n">
        <v>3</v>
      </c>
      <c r="H612" s="20" t="s">
        <v>162</v>
      </c>
      <c r="I612" s="20" t="s">
        <v>50</v>
      </c>
    </row>
    <row r="613" customFormat="false" ht="15" hidden="false" customHeight="false" outlineLevel="0" collapsed="false">
      <c r="A613" s="20" t="s">
        <v>1235</v>
      </c>
      <c r="B613" s="20" t="s">
        <v>1236</v>
      </c>
      <c r="C613" s="20"/>
      <c r="D613" s="20" t="s">
        <v>109</v>
      </c>
      <c r="E613" s="20" t="s">
        <v>54</v>
      </c>
      <c r="F613" s="20" t="s">
        <v>72</v>
      </c>
      <c r="G613" s="20" t="n">
        <v>1</v>
      </c>
      <c r="H613" s="20" t="n">
        <v>24</v>
      </c>
      <c r="I613" s="20" t="s">
        <v>50</v>
      </c>
    </row>
    <row r="614" customFormat="false" ht="15" hidden="false" customHeight="false" outlineLevel="0" collapsed="false">
      <c r="A614" s="20" t="s">
        <v>1237</v>
      </c>
      <c r="B614" s="20" t="s">
        <v>1238</v>
      </c>
      <c r="C614" s="20" t="s">
        <v>447</v>
      </c>
      <c r="D614" s="20" t="s">
        <v>253</v>
      </c>
      <c r="E614" s="20" t="s">
        <v>48</v>
      </c>
      <c r="F614" s="20" t="s">
        <v>49</v>
      </c>
      <c r="G614" s="20" t="n">
        <v>1</v>
      </c>
      <c r="H614" s="20" t="n">
        <v>18</v>
      </c>
      <c r="I614" s="20" t="s">
        <v>50</v>
      </c>
    </row>
    <row r="615" customFormat="false" ht="15" hidden="false" customHeight="false" outlineLevel="0" collapsed="false">
      <c r="A615" s="20" t="s">
        <v>1239</v>
      </c>
      <c r="B615" s="20" t="s">
        <v>1240</v>
      </c>
      <c r="C615" s="20" t="s">
        <v>548</v>
      </c>
      <c r="D615" s="20" t="s">
        <v>109</v>
      </c>
      <c r="E615" s="20" t="s">
        <v>92</v>
      </c>
      <c r="F615" s="20" t="s">
        <v>93</v>
      </c>
      <c r="G615" s="20" t="n">
        <v>2</v>
      </c>
      <c r="H615" s="20" t="n">
        <v>15</v>
      </c>
      <c r="I615" s="20" t="s">
        <v>136</v>
      </c>
    </row>
    <row r="616" customFormat="false" ht="15" hidden="false" customHeight="false" outlineLevel="0" collapsed="false">
      <c r="A616" s="20" t="s">
        <v>1241</v>
      </c>
      <c r="B616" s="20" t="s">
        <v>1242</v>
      </c>
      <c r="C616" s="20" t="s">
        <v>826</v>
      </c>
      <c r="D616" s="20" t="s">
        <v>171</v>
      </c>
      <c r="E616" s="20" t="s">
        <v>48</v>
      </c>
      <c r="F616" s="20" t="s">
        <v>116</v>
      </c>
      <c r="G616" s="20" t="n">
        <v>2</v>
      </c>
      <c r="H616" s="20" t="n">
        <v>28</v>
      </c>
      <c r="I616" s="20" t="s">
        <v>136</v>
      </c>
    </row>
    <row r="617" customFormat="false" ht="15" hidden="false" customHeight="false" outlineLevel="0" collapsed="false">
      <c r="A617" s="20" t="s">
        <v>1243</v>
      </c>
      <c r="B617" s="21" t="n">
        <v>45790</v>
      </c>
      <c r="C617" s="20" t="s">
        <v>286</v>
      </c>
      <c r="D617" s="20" t="s">
        <v>70</v>
      </c>
      <c r="E617" s="20" t="s">
        <v>110</v>
      </c>
      <c r="F617" s="20" t="s">
        <v>236</v>
      </c>
      <c r="G617" s="20" t="n">
        <v>4</v>
      </c>
      <c r="H617" s="20" t="n">
        <v>30</v>
      </c>
      <c r="I617" s="20" t="s">
        <v>199</v>
      </c>
    </row>
    <row r="618" customFormat="false" ht="15" hidden="false" customHeight="false" outlineLevel="0" collapsed="false">
      <c r="A618" s="20" t="s">
        <v>1244</v>
      </c>
      <c r="B618" s="20" t="s">
        <v>1245</v>
      </c>
      <c r="C618" s="20" t="s">
        <v>338</v>
      </c>
      <c r="D618" s="20" t="s">
        <v>65</v>
      </c>
      <c r="E618" s="20" t="s">
        <v>48</v>
      </c>
      <c r="F618" s="20" t="s">
        <v>116</v>
      </c>
      <c r="G618" s="20" t="n">
        <v>1</v>
      </c>
      <c r="H618" s="20" t="n">
        <v>28</v>
      </c>
      <c r="I618" s="20" t="s">
        <v>50</v>
      </c>
    </row>
    <row r="619" customFormat="false" ht="15" hidden="false" customHeight="false" outlineLevel="0" collapsed="false">
      <c r="A619" s="20" t="s">
        <v>1246</v>
      </c>
      <c r="B619" s="20" t="s">
        <v>1090</v>
      </c>
      <c r="C619" s="20" t="s">
        <v>402</v>
      </c>
      <c r="D619" s="20" t="s">
        <v>47</v>
      </c>
      <c r="E619" s="20" t="s">
        <v>110</v>
      </c>
      <c r="F619" s="20" t="s">
        <v>111</v>
      </c>
      <c r="G619" s="20" t="n">
        <v>2</v>
      </c>
      <c r="H619" s="20" t="s">
        <v>329</v>
      </c>
      <c r="I619" s="20" t="s">
        <v>199</v>
      </c>
    </row>
    <row r="620" customFormat="false" ht="15" hidden="false" customHeight="false" outlineLevel="0" collapsed="false">
      <c r="A620" s="20" t="s">
        <v>1247</v>
      </c>
      <c r="B620" s="20" t="s">
        <v>744</v>
      </c>
      <c r="C620" s="20" t="s">
        <v>210</v>
      </c>
      <c r="D620" s="20" t="s">
        <v>59</v>
      </c>
      <c r="E620" s="20" t="s">
        <v>92</v>
      </c>
      <c r="F620" s="20" t="s">
        <v>105</v>
      </c>
      <c r="G620" s="20" t="n">
        <v>2</v>
      </c>
      <c r="H620" s="20" t="n">
        <v>49</v>
      </c>
      <c r="I620" s="20" t="s">
        <v>50</v>
      </c>
    </row>
    <row r="621" customFormat="false" ht="15" hidden="false" customHeight="false" outlineLevel="0" collapsed="false">
      <c r="A621" s="20" t="s">
        <v>1248</v>
      </c>
      <c r="B621" s="20" t="s">
        <v>725</v>
      </c>
      <c r="C621" s="20" t="s">
        <v>156</v>
      </c>
      <c r="D621" s="20" t="s">
        <v>47</v>
      </c>
      <c r="E621" s="20" t="s">
        <v>81</v>
      </c>
      <c r="F621" s="20" t="s">
        <v>61</v>
      </c>
      <c r="G621" s="20" t="n">
        <v>1</v>
      </c>
      <c r="H621" s="20" t="n">
        <v>35</v>
      </c>
      <c r="I621" s="20" t="s">
        <v>50</v>
      </c>
    </row>
    <row r="622" customFormat="false" ht="15" hidden="false" customHeight="false" outlineLevel="0" collapsed="false">
      <c r="A622" s="20" t="s">
        <v>1249</v>
      </c>
      <c r="B622" s="21" t="n">
        <v>45820</v>
      </c>
      <c r="C622" s="20" t="s">
        <v>1001</v>
      </c>
      <c r="D622" s="20" t="s">
        <v>70</v>
      </c>
      <c r="E622" s="20" t="s">
        <v>81</v>
      </c>
      <c r="F622" s="20" t="s">
        <v>67</v>
      </c>
      <c r="G622" s="20" t="n">
        <v>2</v>
      </c>
      <c r="H622" s="20" t="s">
        <v>135</v>
      </c>
      <c r="I622" s="20" t="s">
        <v>199</v>
      </c>
    </row>
    <row r="623" customFormat="false" ht="15" hidden="false" customHeight="false" outlineLevel="0" collapsed="false">
      <c r="A623" s="20" t="s">
        <v>1250</v>
      </c>
      <c r="B623" s="21" t="n">
        <v>45957</v>
      </c>
      <c r="C623" s="20" t="s">
        <v>219</v>
      </c>
      <c r="D623" s="20" t="s">
        <v>109</v>
      </c>
      <c r="E623" s="20" t="s">
        <v>54</v>
      </c>
      <c r="F623" s="20" t="s">
        <v>55</v>
      </c>
      <c r="G623" s="20" t="n">
        <v>2</v>
      </c>
      <c r="H623" s="20" t="n">
        <v>38</v>
      </c>
      <c r="I623" s="20" t="s">
        <v>50</v>
      </c>
    </row>
    <row r="624" customFormat="false" ht="15" hidden="false" customHeight="false" outlineLevel="0" collapsed="false">
      <c r="A624" s="20" t="s">
        <v>1251</v>
      </c>
      <c r="B624" s="20" t="s">
        <v>607</v>
      </c>
      <c r="C624" s="20"/>
      <c r="D624" s="20" t="s">
        <v>70</v>
      </c>
      <c r="E624" s="20" t="s">
        <v>92</v>
      </c>
      <c r="F624" s="20" t="s">
        <v>105</v>
      </c>
      <c r="G624" s="20" t="n">
        <v>3</v>
      </c>
      <c r="H624" s="20" t="n">
        <v>49</v>
      </c>
      <c r="I624" s="20" t="s">
        <v>50</v>
      </c>
    </row>
    <row r="625" customFormat="false" ht="15" hidden="false" customHeight="false" outlineLevel="0" collapsed="false">
      <c r="A625" s="20" t="s">
        <v>1252</v>
      </c>
      <c r="B625" s="21" t="n">
        <v>45989</v>
      </c>
      <c r="C625" s="20" t="s">
        <v>326</v>
      </c>
      <c r="D625" s="20" t="s">
        <v>47</v>
      </c>
      <c r="E625" s="20" t="s">
        <v>54</v>
      </c>
      <c r="F625" s="20" t="s">
        <v>76</v>
      </c>
      <c r="G625" s="20" t="n">
        <v>1</v>
      </c>
      <c r="H625" s="20" t="n">
        <v>32</v>
      </c>
      <c r="I625" s="20" t="s">
        <v>50</v>
      </c>
    </row>
    <row r="626" customFormat="false" ht="15" hidden="false" customHeight="false" outlineLevel="0" collapsed="false">
      <c r="A626" s="20" t="s">
        <v>1253</v>
      </c>
      <c r="B626" s="20" t="s">
        <v>1254</v>
      </c>
      <c r="C626" s="20" t="s">
        <v>143</v>
      </c>
      <c r="D626" s="20" t="s">
        <v>47</v>
      </c>
      <c r="E626" s="20" t="s">
        <v>54</v>
      </c>
      <c r="F626" s="20" t="s">
        <v>72</v>
      </c>
      <c r="G626" s="20" t="n">
        <v>1</v>
      </c>
      <c r="H626" s="20" t="n">
        <v>24</v>
      </c>
      <c r="I626" s="20" t="s">
        <v>50</v>
      </c>
    </row>
    <row r="627" customFormat="false" ht="15" hidden="false" customHeight="false" outlineLevel="0" collapsed="false">
      <c r="A627" s="20" t="s">
        <v>1255</v>
      </c>
      <c r="B627" s="20" t="s">
        <v>1256</v>
      </c>
      <c r="C627" s="20" t="s">
        <v>192</v>
      </c>
      <c r="D627" s="20" t="s">
        <v>47</v>
      </c>
      <c r="E627" s="20" t="s">
        <v>48</v>
      </c>
      <c r="F627" s="20" t="s">
        <v>116</v>
      </c>
      <c r="G627" s="20" t="n">
        <v>1</v>
      </c>
      <c r="H627" s="20" t="n">
        <v>28</v>
      </c>
      <c r="I627" s="20" t="s">
        <v>50</v>
      </c>
    </row>
    <row r="628" customFormat="false" ht="15" hidden="false" customHeight="false" outlineLevel="0" collapsed="false">
      <c r="A628" s="20" t="s">
        <v>1257</v>
      </c>
      <c r="B628" s="20" t="s">
        <v>1258</v>
      </c>
      <c r="C628" s="20" t="s">
        <v>304</v>
      </c>
      <c r="D628" s="20" t="s">
        <v>47</v>
      </c>
      <c r="E628" s="20" t="s">
        <v>110</v>
      </c>
      <c r="F628" s="20" t="s">
        <v>111</v>
      </c>
      <c r="G628" s="20" t="n">
        <v>1</v>
      </c>
      <c r="H628" s="20" t="n">
        <v>16</v>
      </c>
      <c r="I628" s="20" t="s">
        <v>199</v>
      </c>
    </row>
    <row r="629" customFormat="false" ht="15" hidden="false" customHeight="false" outlineLevel="0" collapsed="false">
      <c r="A629" s="20" t="s">
        <v>1259</v>
      </c>
      <c r="B629" s="21" t="n">
        <v>45736</v>
      </c>
      <c r="C629" s="20" t="s">
        <v>100</v>
      </c>
      <c r="D629" s="20" t="s">
        <v>87</v>
      </c>
      <c r="E629" s="20" t="s">
        <v>81</v>
      </c>
      <c r="F629" s="20" t="s">
        <v>67</v>
      </c>
      <c r="G629" s="20" t="n">
        <v>2</v>
      </c>
      <c r="H629" s="20" t="n">
        <v>45</v>
      </c>
      <c r="I629" s="20" t="s">
        <v>50</v>
      </c>
    </row>
    <row r="630" customFormat="false" ht="15" hidden="false" customHeight="false" outlineLevel="0" collapsed="false">
      <c r="A630" s="20" t="s">
        <v>1260</v>
      </c>
      <c r="B630" s="21" t="n">
        <v>45659</v>
      </c>
      <c r="C630" s="20" t="s">
        <v>578</v>
      </c>
      <c r="D630" s="20" t="s">
        <v>47</v>
      </c>
      <c r="E630" s="20" t="s">
        <v>92</v>
      </c>
      <c r="F630" s="20" t="s">
        <v>93</v>
      </c>
      <c r="G630" s="20" t="n">
        <v>4</v>
      </c>
      <c r="H630" s="20" t="n">
        <v>15</v>
      </c>
      <c r="I630" s="20" t="s">
        <v>50</v>
      </c>
    </row>
    <row r="631" customFormat="false" ht="15" hidden="false" customHeight="false" outlineLevel="0" collapsed="false">
      <c r="A631" s="20" t="s">
        <v>1261</v>
      </c>
      <c r="B631" s="20" t="s">
        <v>1262</v>
      </c>
      <c r="C631" s="20" t="s">
        <v>387</v>
      </c>
      <c r="D631" s="20" t="s">
        <v>65</v>
      </c>
      <c r="E631" s="20" t="s">
        <v>54</v>
      </c>
      <c r="F631" s="20" t="s">
        <v>55</v>
      </c>
      <c r="G631" s="20" t="n">
        <v>2</v>
      </c>
      <c r="H631" s="20" t="n">
        <v>38</v>
      </c>
      <c r="I631" s="20" t="s">
        <v>50</v>
      </c>
    </row>
    <row r="632" customFormat="false" ht="15" hidden="false" customHeight="false" outlineLevel="0" collapsed="false">
      <c r="A632" s="20" t="s">
        <v>1263</v>
      </c>
      <c r="B632" s="20" t="s">
        <v>1264</v>
      </c>
      <c r="C632" s="20" t="s">
        <v>258</v>
      </c>
      <c r="D632" s="20" t="s">
        <v>65</v>
      </c>
      <c r="E632" s="20" t="s">
        <v>110</v>
      </c>
      <c r="F632" s="20" t="s">
        <v>236</v>
      </c>
      <c r="G632" s="20" t="n">
        <v>1</v>
      </c>
      <c r="H632" s="20" t="n">
        <v>30</v>
      </c>
      <c r="I632" s="20" t="s">
        <v>50</v>
      </c>
    </row>
    <row r="633" customFormat="false" ht="15" hidden="false" customHeight="false" outlineLevel="0" collapsed="false">
      <c r="A633" s="20" t="s">
        <v>1265</v>
      </c>
      <c r="B633" s="20" t="s">
        <v>507</v>
      </c>
      <c r="C633" s="20" t="s">
        <v>64</v>
      </c>
      <c r="D633" s="20" t="s">
        <v>109</v>
      </c>
      <c r="E633" s="20" t="s">
        <v>66</v>
      </c>
      <c r="F633" s="20" t="s">
        <v>61</v>
      </c>
      <c r="G633" s="20" t="n">
        <v>1</v>
      </c>
      <c r="H633" s="20" t="s">
        <v>88</v>
      </c>
      <c r="I633" s="20" t="s">
        <v>50</v>
      </c>
    </row>
    <row r="634" customFormat="false" ht="15" hidden="false" customHeight="false" outlineLevel="0" collapsed="false">
      <c r="A634" s="20" t="s">
        <v>1266</v>
      </c>
      <c r="B634" s="20" t="s">
        <v>1267</v>
      </c>
      <c r="C634" s="20" t="s">
        <v>326</v>
      </c>
      <c r="D634" s="20" t="s">
        <v>65</v>
      </c>
      <c r="E634" s="20" t="s">
        <v>167</v>
      </c>
      <c r="F634" s="20" t="s">
        <v>72</v>
      </c>
      <c r="G634" s="20" t="n">
        <v>1</v>
      </c>
      <c r="H634" s="20" t="n">
        <v>24</v>
      </c>
      <c r="I634" s="20" t="s">
        <v>50</v>
      </c>
    </row>
    <row r="635" customFormat="false" ht="15" hidden="false" customHeight="false" outlineLevel="0" collapsed="false">
      <c r="A635" s="20" t="s">
        <v>1268</v>
      </c>
      <c r="B635" s="21" t="n">
        <v>45816</v>
      </c>
      <c r="C635" s="20" t="s">
        <v>442</v>
      </c>
      <c r="D635" s="20" t="s">
        <v>59</v>
      </c>
      <c r="E635" s="20" t="s">
        <v>81</v>
      </c>
      <c r="F635" s="20" t="s">
        <v>61</v>
      </c>
      <c r="G635" s="20" t="n">
        <v>3</v>
      </c>
      <c r="H635" s="20" t="n">
        <v>35</v>
      </c>
      <c r="I635" s="20" t="s">
        <v>50</v>
      </c>
    </row>
    <row r="636" customFormat="false" ht="15" hidden="false" customHeight="false" outlineLevel="0" collapsed="false">
      <c r="A636" s="20" t="s">
        <v>1269</v>
      </c>
      <c r="B636" s="21" t="n">
        <v>45909</v>
      </c>
      <c r="C636" s="20" t="s">
        <v>483</v>
      </c>
      <c r="D636" s="20" t="s">
        <v>65</v>
      </c>
      <c r="E636" s="20" t="s">
        <v>54</v>
      </c>
      <c r="F636" s="20" t="s">
        <v>72</v>
      </c>
      <c r="G636" s="20" t="n">
        <v>1</v>
      </c>
      <c r="H636" s="20" t="n">
        <v>24</v>
      </c>
      <c r="I636" s="20" t="s">
        <v>50</v>
      </c>
    </row>
    <row r="637" customFormat="false" ht="15" hidden="false" customHeight="false" outlineLevel="0" collapsed="false">
      <c r="A637" s="20" t="s">
        <v>1270</v>
      </c>
      <c r="B637" s="21" t="n">
        <v>45732</v>
      </c>
      <c r="C637" s="20" t="s">
        <v>186</v>
      </c>
      <c r="D637" s="20" t="s">
        <v>70</v>
      </c>
      <c r="E637" s="20" t="s">
        <v>110</v>
      </c>
      <c r="F637" s="20" t="s">
        <v>121</v>
      </c>
      <c r="G637" s="20" t="n">
        <v>1</v>
      </c>
      <c r="H637" s="20" t="n">
        <v>21</v>
      </c>
      <c r="I637" s="20" t="s">
        <v>50</v>
      </c>
    </row>
    <row r="638" customFormat="false" ht="15" hidden="false" customHeight="false" outlineLevel="0" collapsed="false">
      <c r="A638" s="20" t="s">
        <v>1271</v>
      </c>
      <c r="B638" s="20" t="s">
        <v>1272</v>
      </c>
      <c r="C638" s="20" t="s">
        <v>719</v>
      </c>
      <c r="D638" s="20" t="s">
        <v>171</v>
      </c>
      <c r="E638" s="20" t="s">
        <v>110</v>
      </c>
      <c r="F638" s="20" t="s">
        <v>236</v>
      </c>
      <c r="G638" s="20" t="n">
        <v>2</v>
      </c>
      <c r="H638" s="20" t="s">
        <v>242</v>
      </c>
      <c r="I638" s="20" t="s">
        <v>199</v>
      </c>
    </row>
    <row r="639" customFormat="false" ht="15" hidden="false" customHeight="false" outlineLevel="0" collapsed="false">
      <c r="A639" s="20" t="s">
        <v>1273</v>
      </c>
      <c r="B639" s="20" t="s">
        <v>1274</v>
      </c>
      <c r="C639" s="20" t="s">
        <v>675</v>
      </c>
      <c r="D639" s="20" t="s">
        <v>47</v>
      </c>
      <c r="E639" s="20" t="s">
        <v>81</v>
      </c>
      <c r="F639" s="20" t="s">
        <v>61</v>
      </c>
      <c r="G639" s="20" t="n">
        <v>2</v>
      </c>
      <c r="H639" s="20" t="s">
        <v>88</v>
      </c>
      <c r="I639" s="20" t="s">
        <v>50</v>
      </c>
    </row>
    <row r="640" customFormat="false" ht="15" hidden="false" customHeight="false" outlineLevel="0" collapsed="false">
      <c r="A640" s="20" t="s">
        <v>1275</v>
      </c>
      <c r="B640" s="20" t="s">
        <v>1276</v>
      </c>
      <c r="C640" s="20" t="s">
        <v>719</v>
      </c>
      <c r="D640" s="20" t="s">
        <v>70</v>
      </c>
      <c r="E640" s="20" t="s">
        <v>234</v>
      </c>
      <c r="F640" s="20" t="s">
        <v>82</v>
      </c>
      <c r="G640" s="20" t="n">
        <v>2</v>
      </c>
      <c r="H640" s="20" t="s">
        <v>154</v>
      </c>
      <c r="I640" s="20" t="s">
        <v>50</v>
      </c>
    </row>
    <row r="641" customFormat="false" ht="15" hidden="false" customHeight="false" outlineLevel="0" collapsed="false">
      <c r="A641" s="20" t="s">
        <v>1277</v>
      </c>
      <c r="B641" s="20" t="s">
        <v>1278</v>
      </c>
      <c r="C641" s="20" t="s">
        <v>422</v>
      </c>
      <c r="D641" s="20" t="s">
        <v>47</v>
      </c>
      <c r="E641" s="20" t="s">
        <v>101</v>
      </c>
      <c r="F641" s="20" t="s">
        <v>116</v>
      </c>
      <c r="G641" s="20" t="n">
        <v>3</v>
      </c>
      <c r="H641" s="20" t="s">
        <v>162</v>
      </c>
      <c r="I641" s="20" t="s">
        <v>50</v>
      </c>
    </row>
    <row r="642" customFormat="false" ht="15" hidden="false" customHeight="false" outlineLevel="0" collapsed="false">
      <c r="A642" s="20" t="s">
        <v>1279</v>
      </c>
      <c r="B642" s="20" t="s">
        <v>1280</v>
      </c>
      <c r="C642" s="20" t="s">
        <v>535</v>
      </c>
      <c r="D642" s="20" t="s">
        <v>59</v>
      </c>
      <c r="E642" s="20" t="s">
        <v>81</v>
      </c>
      <c r="F642" s="20" t="s">
        <v>61</v>
      </c>
      <c r="G642" s="20" t="n">
        <v>1</v>
      </c>
      <c r="H642" s="20" t="n">
        <v>35</v>
      </c>
      <c r="I642" s="20" t="s">
        <v>50</v>
      </c>
    </row>
    <row r="643" customFormat="false" ht="15" hidden="false" customHeight="false" outlineLevel="0" collapsed="false">
      <c r="A643" s="20" t="s">
        <v>1281</v>
      </c>
      <c r="B643" s="21" t="n">
        <v>45864</v>
      </c>
      <c r="C643" s="20" t="s">
        <v>392</v>
      </c>
      <c r="D643" s="20" t="s">
        <v>59</v>
      </c>
      <c r="E643" s="20" t="s">
        <v>81</v>
      </c>
      <c r="F643" s="20" t="s">
        <v>67</v>
      </c>
      <c r="G643" s="20" t="n">
        <v>3</v>
      </c>
      <c r="H643" s="20" t="n">
        <v>45</v>
      </c>
      <c r="I643" s="20" t="s">
        <v>320</v>
      </c>
    </row>
    <row r="644" customFormat="false" ht="15" hidden="false" customHeight="false" outlineLevel="0" collapsed="false">
      <c r="A644" s="20" t="s">
        <v>1282</v>
      </c>
      <c r="B644" s="20" t="s">
        <v>1283</v>
      </c>
      <c r="C644" s="20" t="s">
        <v>380</v>
      </c>
      <c r="D644" s="20" t="s">
        <v>65</v>
      </c>
      <c r="E644" s="20" t="s">
        <v>54</v>
      </c>
      <c r="F644" s="20" t="s">
        <v>55</v>
      </c>
      <c r="G644" s="20" t="n">
        <v>1</v>
      </c>
      <c r="H644" s="20" t="n">
        <v>38</v>
      </c>
      <c r="I644" s="20" t="s">
        <v>50</v>
      </c>
    </row>
    <row r="645" customFormat="false" ht="15" hidden="false" customHeight="false" outlineLevel="0" collapsed="false">
      <c r="A645" s="20" t="s">
        <v>1284</v>
      </c>
      <c r="B645" s="20" t="s">
        <v>1285</v>
      </c>
      <c r="C645" s="20" t="s">
        <v>719</v>
      </c>
      <c r="D645" s="20" t="s">
        <v>70</v>
      </c>
      <c r="E645" s="20" t="s">
        <v>92</v>
      </c>
      <c r="F645" s="20" t="s">
        <v>105</v>
      </c>
      <c r="G645" s="20" t="n">
        <v>1</v>
      </c>
      <c r="H645" s="20" t="s">
        <v>126</v>
      </c>
      <c r="I645" s="20" t="s">
        <v>50</v>
      </c>
    </row>
    <row r="646" customFormat="false" ht="15" hidden="false" customHeight="false" outlineLevel="0" collapsed="false">
      <c r="A646" s="20" t="s">
        <v>1286</v>
      </c>
      <c r="B646" s="20" t="s">
        <v>734</v>
      </c>
      <c r="C646" s="20" t="s">
        <v>600</v>
      </c>
      <c r="D646" s="20" t="s">
        <v>47</v>
      </c>
      <c r="E646" s="20" t="s">
        <v>54</v>
      </c>
      <c r="F646" s="20" t="s">
        <v>72</v>
      </c>
      <c r="G646" s="20" t="n">
        <v>1</v>
      </c>
      <c r="H646" s="20" t="s">
        <v>293</v>
      </c>
      <c r="I646" s="20" t="s">
        <v>50</v>
      </c>
    </row>
    <row r="647" customFormat="false" ht="15" hidden="false" customHeight="false" outlineLevel="0" collapsed="false">
      <c r="A647" s="20" t="s">
        <v>1287</v>
      </c>
      <c r="B647" s="20" t="s">
        <v>1288</v>
      </c>
      <c r="C647" s="20" t="s">
        <v>1221</v>
      </c>
      <c r="D647" s="20" t="s">
        <v>47</v>
      </c>
      <c r="E647" s="20" t="s">
        <v>234</v>
      </c>
      <c r="F647" s="20" t="s">
        <v>67</v>
      </c>
      <c r="G647" s="20" t="n">
        <v>1</v>
      </c>
      <c r="H647" s="20" t="s">
        <v>135</v>
      </c>
      <c r="I647" s="20" t="s">
        <v>50</v>
      </c>
    </row>
    <row r="648" customFormat="false" ht="15" hidden="false" customHeight="false" outlineLevel="0" collapsed="false">
      <c r="A648" s="20" t="s">
        <v>633</v>
      </c>
      <c r="B648" s="20" t="s">
        <v>466</v>
      </c>
      <c r="C648" s="20" t="s">
        <v>634</v>
      </c>
      <c r="D648" s="20" t="s">
        <v>70</v>
      </c>
      <c r="E648" s="20" t="s">
        <v>92</v>
      </c>
      <c r="F648" s="20" t="s">
        <v>105</v>
      </c>
      <c r="G648" s="20" t="n">
        <v>1</v>
      </c>
      <c r="H648" s="20" t="s">
        <v>126</v>
      </c>
      <c r="I648" s="20" t="s">
        <v>50</v>
      </c>
    </row>
    <row r="649" customFormat="false" ht="15" hidden="false" customHeight="false" outlineLevel="0" collapsed="false">
      <c r="A649" s="20" t="s">
        <v>1289</v>
      </c>
      <c r="B649" s="20" t="s">
        <v>1290</v>
      </c>
      <c r="C649" s="20" t="s">
        <v>1136</v>
      </c>
      <c r="D649" s="20" t="s">
        <v>47</v>
      </c>
      <c r="E649" s="20" t="s">
        <v>92</v>
      </c>
      <c r="F649" s="20" t="s">
        <v>105</v>
      </c>
      <c r="G649" s="20" t="n">
        <v>2</v>
      </c>
      <c r="H649" s="20" t="n">
        <v>49</v>
      </c>
      <c r="I649" s="20" t="s">
        <v>50</v>
      </c>
    </row>
    <row r="650" customFormat="false" ht="15" hidden="false" customHeight="false" outlineLevel="0" collapsed="false">
      <c r="A650" s="20" t="s">
        <v>1291</v>
      </c>
      <c r="B650" s="20" t="s">
        <v>885</v>
      </c>
      <c r="C650" s="20" t="s">
        <v>675</v>
      </c>
      <c r="D650" s="20" t="s">
        <v>109</v>
      </c>
      <c r="E650" s="20" t="s">
        <v>54</v>
      </c>
      <c r="F650" s="20" t="s">
        <v>55</v>
      </c>
      <c r="G650" s="20" t="n">
        <v>1</v>
      </c>
      <c r="H650" s="20" t="n">
        <v>38</v>
      </c>
      <c r="I650" s="20" t="s">
        <v>50</v>
      </c>
    </row>
    <row r="651" customFormat="false" ht="15" hidden="false" customHeight="false" outlineLevel="0" collapsed="false">
      <c r="A651" s="20" t="s">
        <v>743</v>
      </c>
      <c r="B651" s="20" t="s">
        <v>744</v>
      </c>
      <c r="C651" s="20" t="s">
        <v>464</v>
      </c>
      <c r="D651" s="20" t="s">
        <v>70</v>
      </c>
      <c r="E651" s="20" t="s">
        <v>81</v>
      </c>
      <c r="F651" s="20" t="s">
        <v>67</v>
      </c>
      <c r="G651" s="20" t="n">
        <v>2</v>
      </c>
      <c r="H651" s="20" t="s">
        <v>135</v>
      </c>
      <c r="I651" s="20" t="s">
        <v>50</v>
      </c>
    </row>
    <row r="652" customFormat="false" ht="15" hidden="false" customHeight="false" outlineLevel="0" collapsed="false">
      <c r="A652" s="20" t="s">
        <v>1292</v>
      </c>
      <c r="B652" s="20" t="s">
        <v>1293</v>
      </c>
      <c r="C652" s="20"/>
      <c r="D652" s="20" t="s">
        <v>47</v>
      </c>
      <c r="E652" s="20" t="s">
        <v>110</v>
      </c>
      <c r="F652" s="20" t="s">
        <v>121</v>
      </c>
      <c r="G652" s="20" t="n">
        <v>1</v>
      </c>
      <c r="H652" s="20" t="n">
        <v>21</v>
      </c>
      <c r="I652" s="20" t="s">
        <v>50</v>
      </c>
    </row>
    <row r="653" customFormat="false" ht="15" hidden="false" customHeight="false" outlineLevel="0" collapsed="false">
      <c r="A653" s="20" t="s">
        <v>1294</v>
      </c>
      <c r="B653" s="20" t="s">
        <v>1295</v>
      </c>
      <c r="C653" s="20" t="s">
        <v>300</v>
      </c>
      <c r="D653" s="20" t="s">
        <v>70</v>
      </c>
      <c r="E653" s="20" t="s">
        <v>92</v>
      </c>
      <c r="F653" s="20" t="s">
        <v>105</v>
      </c>
      <c r="G653" s="20" t="n">
        <v>1</v>
      </c>
      <c r="H653" s="20" t="n">
        <v>49</v>
      </c>
      <c r="I653" s="20" t="s">
        <v>199</v>
      </c>
    </row>
    <row r="654" customFormat="false" ht="15" hidden="false" customHeight="false" outlineLevel="0" collapsed="false">
      <c r="A654" s="20" t="s">
        <v>1296</v>
      </c>
      <c r="B654" s="20" t="s">
        <v>1297</v>
      </c>
      <c r="C654" s="20" t="s">
        <v>483</v>
      </c>
      <c r="D654" s="20" t="s">
        <v>70</v>
      </c>
      <c r="E654" s="20" t="s">
        <v>48</v>
      </c>
      <c r="F654" s="20" t="s">
        <v>144</v>
      </c>
      <c r="G654" s="20" t="n">
        <v>2</v>
      </c>
      <c r="H654" s="20" t="n">
        <v>54</v>
      </c>
      <c r="I654" s="20" t="s">
        <v>50</v>
      </c>
    </row>
    <row r="655" customFormat="false" ht="15" hidden="false" customHeight="false" outlineLevel="0" collapsed="false">
      <c r="A655" s="20" t="s">
        <v>1298</v>
      </c>
      <c r="B655" s="20" t="s">
        <v>1299</v>
      </c>
      <c r="C655" s="20" t="s">
        <v>219</v>
      </c>
      <c r="D655" s="20" t="s">
        <v>65</v>
      </c>
      <c r="E655" s="20" t="s">
        <v>81</v>
      </c>
      <c r="F655" s="20" t="s">
        <v>67</v>
      </c>
      <c r="G655" s="20" t="n">
        <v>1</v>
      </c>
      <c r="H655" s="20" t="s">
        <v>135</v>
      </c>
      <c r="I655" s="20" t="s">
        <v>50</v>
      </c>
    </row>
    <row r="656" customFormat="false" ht="15" hidden="false" customHeight="false" outlineLevel="0" collapsed="false">
      <c r="A656" s="20" t="s">
        <v>940</v>
      </c>
      <c r="B656" s="20" t="s">
        <v>396</v>
      </c>
      <c r="C656" s="20" t="s">
        <v>104</v>
      </c>
      <c r="D656" s="20" t="s">
        <v>47</v>
      </c>
      <c r="E656" s="20" t="s">
        <v>728</v>
      </c>
      <c r="F656" s="20" t="s">
        <v>196</v>
      </c>
      <c r="G656" s="20" t="n">
        <v>2</v>
      </c>
      <c r="H656" s="20" t="n">
        <v>89</v>
      </c>
      <c r="I656" s="20" t="s">
        <v>50</v>
      </c>
    </row>
    <row r="657" customFormat="false" ht="15" hidden="false" customHeight="false" outlineLevel="0" collapsed="false">
      <c r="A657" s="20" t="s">
        <v>1300</v>
      </c>
      <c r="B657" s="21" t="n">
        <v>45834</v>
      </c>
      <c r="C657" s="20" t="s">
        <v>108</v>
      </c>
      <c r="D657" s="20" t="s">
        <v>47</v>
      </c>
      <c r="E657" s="20" t="s">
        <v>81</v>
      </c>
      <c r="F657" s="20" t="s">
        <v>67</v>
      </c>
      <c r="G657" s="20" t="n">
        <v>1</v>
      </c>
      <c r="H657" s="20" t="n">
        <v>45</v>
      </c>
      <c r="I657" s="20" t="s">
        <v>50</v>
      </c>
    </row>
    <row r="658" customFormat="false" ht="15" hidden="false" customHeight="false" outlineLevel="0" collapsed="false">
      <c r="A658" s="20" t="s">
        <v>1301</v>
      </c>
      <c r="B658" s="20" t="s">
        <v>1302</v>
      </c>
      <c r="C658" s="20" t="s">
        <v>323</v>
      </c>
      <c r="D658" s="20" t="s">
        <v>65</v>
      </c>
      <c r="E658" s="20" t="s">
        <v>48</v>
      </c>
      <c r="F658" s="20" t="s">
        <v>116</v>
      </c>
      <c r="G658" s="20" t="n">
        <v>1</v>
      </c>
      <c r="H658" s="20" t="s">
        <v>162</v>
      </c>
      <c r="I658" s="20" t="s">
        <v>50</v>
      </c>
    </row>
    <row r="659" customFormat="false" ht="15" hidden="false" customHeight="false" outlineLevel="0" collapsed="false">
      <c r="A659" s="20" t="s">
        <v>1303</v>
      </c>
      <c r="B659" s="20" t="s">
        <v>206</v>
      </c>
      <c r="C659" s="20"/>
      <c r="D659" s="20" t="s">
        <v>109</v>
      </c>
      <c r="E659" s="20" t="s">
        <v>48</v>
      </c>
      <c r="F659" s="20" t="s">
        <v>144</v>
      </c>
      <c r="G659" s="20" t="n">
        <v>3</v>
      </c>
      <c r="H659" s="20" t="n">
        <v>54</v>
      </c>
      <c r="I659" s="20" t="s">
        <v>50</v>
      </c>
    </row>
    <row r="660" customFormat="false" ht="15" hidden="false" customHeight="false" outlineLevel="0" collapsed="false">
      <c r="A660" s="20" t="s">
        <v>1304</v>
      </c>
      <c r="B660" s="20" t="s">
        <v>1305</v>
      </c>
      <c r="C660" s="20" t="s">
        <v>306</v>
      </c>
      <c r="D660" s="20" t="s">
        <v>70</v>
      </c>
      <c r="E660" s="20" t="s">
        <v>728</v>
      </c>
      <c r="F660" s="20" t="s">
        <v>93</v>
      </c>
      <c r="G660" s="20" t="n">
        <v>3</v>
      </c>
      <c r="H660" s="20" t="n">
        <v>15</v>
      </c>
      <c r="I660" s="20" t="s">
        <v>50</v>
      </c>
    </row>
    <row r="661" customFormat="false" ht="15" hidden="false" customHeight="false" outlineLevel="0" collapsed="false">
      <c r="A661" s="20" t="s">
        <v>1306</v>
      </c>
      <c r="B661" s="20" t="s">
        <v>1242</v>
      </c>
      <c r="C661" s="20" t="s">
        <v>332</v>
      </c>
      <c r="D661" s="20" t="s">
        <v>47</v>
      </c>
      <c r="E661" s="20" t="s">
        <v>92</v>
      </c>
      <c r="F661" s="20" t="s">
        <v>105</v>
      </c>
      <c r="G661" s="20" t="n">
        <v>4</v>
      </c>
      <c r="H661" s="20" t="n">
        <v>49</v>
      </c>
      <c r="I661" s="20" t="s">
        <v>50</v>
      </c>
    </row>
    <row r="662" customFormat="false" ht="15" hidden="false" customHeight="false" outlineLevel="0" collapsed="false">
      <c r="A662" s="20" t="s">
        <v>1307</v>
      </c>
      <c r="B662" s="20" t="s">
        <v>1308</v>
      </c>
      <c r="C662" s="20" t="s">
        <v>183</v>
      </c>
      <c r="D662" s="20" t="s">
        <v>70</v>
      </c>
      <c r="E662" s="20" t="s">
        <v>92</v>
      </c>
      <c r="F662" s="20" t="s">
        <v>105</v>
      </c>
      <c r="G662" s="20" t="n">
        <v>4</v>
      </c>
      <c r="H662" s="20" t="n">
        <v>49</v>
      </c>
      <c r="I662" s="20" t="s">
        <v>50</v>
      </c>
    </row>
    <row r="663" customFormat="false" ht="15" hidden="false" customHeight="false" outlineLevel="0" collapsed="false">
      <c r="A663" s="20" t="s">
        <v>1309</v>
      </c>
      <c r="B663" s="21" t="n">
        <v>46001</v>
      </c>
      <c r="C663" s="20" t="s">
        <v>983</v>
      </c>
      <c r="D663" s="20" t="s">
        <v>70</v>
      </c>
      <c r="E663" s="20" t="s">
        <v>92</v>
      </c>
      <c r="F663" s="20" t="s">
        <v>93</v>
      </c>
      <c r="G663" s="20" t="n">
        <v>3</v>
      </c>
      <c r="H663" s="20" t="n">
        <v>15</v>
      </c>
      <c r="I663" s="20" t="s">
        <v>50</v>
      </c>
    </row>
    <row r="664" customFormat="false" ht="15" hidden="false" customHeight="false" outlineLevel="0" collapsed="false">
      <c r="A664" s="20" t="s">
        <v>1310</v>
      </c>
      <c r="B664" s="20" t="s">
        <v>1311</v>
      </c>
      <c r="C664" s="20" t="s">
        <v>522</v>
      </c>
      <c r="D664" s="20" t="s">
        <v>282</v>
      </c>
      <c r="E664" s="20" t="s">
        <v>54</v>
      </c>
      <c r="F664" s="20" t="s">
        <v>76</v>
      </c>
      <c r="G664" s="20" t="n">
        <v>1</v>
      </c>
      <c r="H664" s="20" t="n">
        <v>32</v>
      </c>
      <c r="I664" s="20" t="s">
        <v>50</v>
      </c>
    </row>
    <row r="665" customFormat="false" ht="15" hidden="false" customHeight="false" outlineLevel="0" collapsed="false">
      <c r="A665" s="20" t="s">
        <v>1312</v>
      </c>
      <c r="B665" s="20" t="s">
        <v>84</v>
      </c>
      <c r="C665" s="20" t="s">
        <v>134</v>
      </c>
      <c r="D665" s="20" t="s">
        <v>47</v>
      </c>
      <c r="E665" s="20" t="s">
        <v>110</v>
      </c>
      <c r="F665" s="20" t="s">
        <v>121</v>
      </c>
      <c r="G665" s="20" t="n">
        <v>1</v>
      </c>
      <c r="H665" s="20" t="n">
        <v>21</v>
      </c>
      <c r="I665" s="20" t="s">
        <v>50</v>
      </c>
    </row>
    <row r="666" customFormat="false" ht="15" hidden="false" customHeight="false" outlineLevel="0" collapsed="false">
      <c r="A666" s="20" t="s">
        <v>1313</v>
      </c>
      <c r="B666" s="20" t="s">
        <v>1314</v>
      </c>
      <c r="C666" s="20" t="s">
        <v>826</v>
      </c>
      <c r="D666" s="20" t="s">
        <v>47</v>
      </c>
      <c r="E666" s="20" t="s">
        <v>728</v>
      </c>
      <c r="F666" s="20" t="s">
        <v>196</v>
      </c>
      <c r="G666" s="20" t="n">
        <v>3</v>
      </c>
      <c r="H666" s="20" t="s">
        <v>220</v>
      </c>
      <c r="I666" s="20" t="s">
        <v>50</v>
      </c>
    </row>
    <row r="667" customFormat="false" ht="15" hidden="false" customHeight="false" outlineLevel="0" collapsed="false">
      <c r="A667" s="20" t="s">
        <v>1315</v>
      </c>
      <c r="B667" s="20" t="s">
        <v>705</v>
      </c>
      <c r="C667" s="20" t="s">
        <v>250</v>
      </c>
      <c r="D667" s="20" t="s">
        <v>109</v>
      </c>
      <c r="E667" s="20" t="s">
        <v>48</v>
      </c>
      <c r="F667" s="20" t="s">
        <v>116</v>
      </c>
      <c r="G667" s="20" t="n">
        <v>1</v>
      </c>
      <c r="H667" s="20" t="n">
        <v>28</v>
      </c>
      <c r="I667" s="20" t="s">
        <v>50</v>
      </c>
    </row>
    <row r="668" customFormat="false" ht="15" hidden="false" customHeight="false" outlineLevel="0" collapsed="false">
      <c r="A668" s="20" t="s">
        <v>1316</v>
      </c>
      <c r="B668" s="20" t="s">
        <v>1317</v>
      </c>
      <c r="C668" s="20" t="s">
        <v>192</v>
      </c>
      <c r="D668" s="20" t="s">
        <v>47</v>
      </c>
      <c r="E668" s="20" t="s">
        <v>110</v>
      </c>
      <c r="F668" s="20" t="s">
        <v>111</v>
      </c>
      <c r="G668" s="20" t="n">
        <v>1</v>
      </c>
      <c r="H668" s="20" t="n">
        <v>16</v>
      </c>
      <c r="I668" s="20" t="s">
        <v>163</v>
      </c>
    </row>
    <row r="669" customFormat="false" ht="15" hidden="false" customHeight="false" outlineLevel="0" collapsed="false">
      <c r="A669" s="20" t="s">
        <v>1318</v>
      </c>
      <c r="B669" s="21" t="n">
        <v>45853</v>
      </c>
      <c r="C669" s="20" t="s">
        <v>269</v>
      </c>
      <c r="D669" s="20" t="s">
        <v>47</v>
      </c>
      <c r="E669" s="20" t="s">
        <v>48</v>
      </c>
      <c r="F669" s="20" t="s">
        <v>49</v>
      </c>
      <c r="G669" s="20" t="n">
        <v>1</v>
      </c>
      <c r="H669" s="20" t="n">
        <v>18</v>
      </c>
      <c r="I669" s="20" t="s">
        <v>50</v>
      </c>
    </row>
    <row r="670" customFormat="false" ht="15" hidden="false" customHeight="false" outlineLevel="0" collapsed="false">
      <c r="A670" s="20" t="s">
        <v>1319</v>
      </c>
      <c r="B670" s="20" t="s">
        <v>261</v>
      </c>
      <c r="C670" s="20" t="s">
        <v>570</v>
      </c>
      <c r="D670" s="20" t="s">
        <v>47</v>
      </c>
      <c r="E670" s="20" t="s">
        <v>292</v>
      </c>
      <c r="F670" s="20" t="s">
        <v>76</v>
      </c>
      <c r="G670" s="20" t="n">
        <v>2</v>
      </c>
      <c r="H670" s="20" t="n">
        <v>32</v>
      </c>
      <c r="I670" s="20" t="s">
        <v>50</v>
      </c>
    </row>
    <row r="671" customFormat="false" ht="15" hidden="false" customHeight="false" outlineLevel="0" collapsed="false">
      <c r="A671" s="20" t="s">
        <v>1320</v>
      </c>
      <c r="B671" s="20" t="s">
        <v>1321</v>
      </c>
      <c r="C671" s="20" t="s">
        <v>357</v>
      </c>
      <c r="D671" s="20" t="s">
        <v>1014</v>
      </c>
      <c r="E671" s="20" t="s">
        <v>728</v>
      </c>
      <c r="F671" s="20" t="s">
        <v>105</v>
      </c>
      <c r="G671" s="20" t="n">
        <v>1</v>
      </c>
      <c r="H671" s="20" t="n">
        <v>49</v>
      </c>
      <c r="I671" s="20" t="s">
        <v>50</v>
      </c>
    </row>
    <row r="672" customFormat="false" ht="15" hidden="false" customHeight="false" outlineLevel="0" collapsed="false">
      <c r="A672" s="20" t="s">
        <v>341</v>
      </c>
      <c r="B672" s="20" t="s">
        <v>342</v>
      </c>
      <c r="C672" s="20" t="s">
        <v>69</v>
      </c>
      <c r="D672" s="20" t="s">
        <v>47</v>
      </c>
      <c r="E672" s="20" t="s">
        <v>92</v>
      </c>
      <c r="F672" s="20" t="s">
        <v>93</v>
      </c>
      <c r="G672" s="20" t="n">
        <v>1</v>
      </c>
      <c r="H672" s="20" t="n">
        <v>15</v>
      </c>
      <c r="I672" s="20" t="s">
        <v>50</v>
      </c>
    </row>
    <row r="673" customFormat="false" ht="15" hidden="false" customHeight="false" outlineLevel="0" collapsed="false">
      <c r="A673" s="20" t="s">
        <v>1322</v>
      </c>
      <c r="B673" s="20" t="s">
        <v>1323</v>
      </c>
      <c r="C673" s="20" t="s">
        <v>161</v>
      </c>
      <c r="D673" s="20" t="s">
        <v>47</v>
      </c>
      <c r="E673" s="20" t="s">
        <v>48</v>
      </c>
      <c r="F673" s="20" t="s">
        <v>144</v>
      </c>
      <c r="G673" s="20" t="n">
        <v>1</v>
      </c>
      <c r="H673" s="20" t="n">
        <v>54</v>
      </c>
      <c r="I673" s="20" t="s">
        <v>50</v>
      </c>
    </row>
    <row r="674" customFormat="false" ht="15" hidden="false" customHeight="false" outlineLevel="0" collapsed="false">
      <c r="A674" s="20" t="s">
        <v>1324</v>
      </c>
      <c r="B674" s="21" t="n">
        <v>45819</v>
      </c>
      <c r="C674" s="20" t="s">
        <v>442</v>
      </c>
      <c r="D674" s="20" t="s">
        <v>59</v>
      </c>
      <c r="E674" s="20" t="s">
        <v>110</v>
      </c>
      <c r="F674" s="20" t="s">
        <v>236</v>
      </c>
      <c r="G674" s="20" t="n">
        <v>1</v>
      </c>
      <c r="H674" s="20" t="s">
        <v>242</v>
      </c>
      <c r="I674" s="20" t="s">
        <v>199</v>
      </c>
    </row>
    <row r="675" customFormat="false" ht="15" hidden="false" customHeight="false" outlineLevel="0" collapsed="false">
      <c r="A675" s="20" t="s">
        <v>1325</v>
      </c>
      <c r="B675" s="21" t="n">
        <v>45947</v>
      </c>
      <c r="C675" s="20" t="s">
        <v>801</v>
      </c>
      <c r="D675" s="20" t="s">
        <v>70</v>
      </c>
      <c r="E675" s="20" t="s">
        <v>92</v>
      </c>
      <c r="F675" s="20" t="s">
        <v>93</v>
      </c>
      <c r="G675" s="20" t="n">
        <v>1</v>
      </c>
      <c r="H675" s="20" t="n">
        <v>15</v>
      </c>
      <c r="I675" s="20" t="s">
        <v>320</v>
      </c>
    </row>
    <row r="676" customFormat="false" ht="15" hidden="false" customHeight="false" outlineLevel="0" collapsed="false">
      <c r="A676" s="20" t="s">
        <v>1326</v>
      </c>
      <c r="B676" s="20" t="s">
        <v>1327</v>
      </c>
      <c r="C676" s="20" t="s">
        <v>1008</v>
      </c>
      <c r="D676" s="20" t="s">
        <v>59</v>
      </c>
      <c r="E676" s="20" t="s">
        <v>54</v>
      </c>
      <c r="F676" s="20" t="s">
        <v>76</v>
      </c>
      <c r="G676" s="20" t="n">
        <v>2</v>
      </c>
      <c r="H676" s="20" t="n">
        <v>32</v>
      </c>
      <c r="I676" s="20" t="s">
        <v>50</v>
      </c>
    </row>
    <row r="677" customFormat="false" ht="15" hidden="false" customHeight="false" outlineLevel="0" collapsed="false">
      <c r="A677" s="20" t="s">
        <v>1328</v>
      </c>
      <c r="B677" s="20" t="s">
        <v>1329</v>
      </c>
      <c r="C677" s="20" t="s">
        <v>431</v>
      </c>
      <c r="D677" s="20" t="s">
        <v>59</v>
      </c>
      <c r="E677" s="20" t="s">
        <v>81</v>
      </c>
      <c r="F677" s="20" t="s">
        <v>67</v>
      </c>
      <c r="G677" s="20" t="n">
        <v>1</v>
      </c>
      <c r="H677" s="20" t="n">
        <v>45</v>
      </c>
      <c r="I677" s="20" t="s">
        <v>50</v>
      </c>
    </row>
    <row r="678" customFormat="false" ht="15" hidden="false" customHeight="false" outlineLevel="0" collapsed="false">
      <c r="A678" s="20" t="s">
        <v>1330</v>
      </c>
      <c r="B678" s="20" t="s">
        <v>463</v>
      </c>
      <c r="C678" s="20" t="s">
        <v>86</v>
      </c>
      <c r="D678" s="20" t="s">
        <v>53</v>
      </c>
      <c r="E678" s="20" t="s">
        <v>81</v>
      </c>
      <c r="F678" s="20" t="s">
        <v>67</v>
      </c>
      <c r="G678" s="20" t="n">
        <v>1</v>
      </c>
      <c r="H678" s="20" t="n">
        <v>45</v>
      </c>
      <c r="I678" s="20" t="s">
        <v>50</v>
      </c>
    </row>
    <row r="679" customFormat="false" ht="15" hidden="false" customHeight="false" outlineLevel="0" collapsed="false">
      <c r="A679" s="20" t="s">
        <v>1331</v>
      </c>
      <c r="B679" s="21" t="n">
        <v>45827</v>
      </c>
      <c r="C679" s="20"/>
      <c r="D679" s="20" t="s">
        <v>59</v>
      </c>
      <c r="E679" s="20" t="s">
        <v>292</v>
      </c>
      <c r="F679" s="20" t="s">
        <v>55</v>
      </c>
      <c r="G679" s="20" t="n">
        <v>1</v>
      </c>
      <c r="H679" s="20" t="s">
        <v>259</v>
      </c>
      <c r="I679" s="20" t="s">
        <v>136</v>
      </c>
    </row>
    <row r="680" customFormat="false" ht="15" hidden="false" customHeight="false" outlineLevel="0" collapsed="false">
      <c r="A680" s="20" t="s">
        <v>181</v>
      </c>
      <c r="B680" s="20" t="s">
        <v>182</v>
      </c>
      <c r="C680" s="20" t="s">
        <v>183</v>
      </c>
      <c r="D680" s="20" t="s">
        <v>87</v>
      </c>
      <c r="E680" s="20" t="s">
        <v>92</v>
      </c>
      <c r="F680" s="20" t="s">
        <v>93</v>
      </c>
      <c r="G680" s="20" t="n">
        <v>1</v>
      </c>
      <c r="H680" s="20" t="s">
        <v>94</v>
      </c>
      <c r="I680" s="20" t="s">
        <v>50</v>
      </c>
    </row>
    <row r="681" customFormat="false" ht="15" hidden="false" customHeight="false" outlineLevel="0" collapsed="false">
      <c r="A681" s="20" t="s">
        <v>1332</v>
      </c>
      <c r="B681" s="20" t="s">
        <v>803</v>
      </c>
      <c r="C681" s="20" t="s">
        <v>210</v>
      </c>
      <c r="D681" s="20" t="s">
        <v>70</v>
      </c>
      <c r="E681" s="20" t="s">
        <v>81</v>
      </c>
      <c r="F681" s="20" t="s">
        <v>82</v>
      </c>
      <c r="G681" s="20" t="n">
        <v>1</v>
      </c>
      <c r="H681" s="20" t="n">
        <v>22</v>
      </c>
      <c r="I681" s="20" t="s">
        <v>50</v>
      </c>
    </row>
    <row r="682" customFormat="false" ht="15" hidden="false" customHeight="false" outlineLevel="0" collapsed="false">
      <c r="A682" s="20" t="s">
        <v>720</v>
      </c>
      <c r="B682" s="21" t="n">
        <v>45672</v>
      </c>
      <c r="C682" s="20" t="s">
        <v>97</v>
      </c>
      <c r="D682" s="20" t="s">
        <v>109</v>
      </c>
      <c r="E682" s="20" t="s">
        <v>140</v>
      </c>
      <c r="F682" s="20" t="s">
        <v>196</v>
      </c>
      <c r="G682" s="20" t="n">
        <v>4</v>
      </c>
      <c r="H682" s="20" t="n">
        <v>89</v>
      </c>
      <c r="I682" s="20" t="s">
        <v>50</v>
      </c>
    </row>
    <row r="683" customFormat="false" ht="15" hidden="false" customHeight="false" outlineLevel="0" collapsed="false">
      <c r="A683" s="20" t="s">
        <v>1333</v>
      </c>
      <c r="B683" s="20" t="s">
        <v>1003</v>
      </c>
      <c r="C683" s="20" t="s">
        <v>375</v>
      </c>
      <c r="D683" s="20" t="s">
        <v>59</v>
      </c>
      <c r="E683" s="20" t="s">
        <v>92</v>
      </c>
      <c r="F683" s="20" t="s">
        <v>105</v>
      </c>
      <c r="G683" s="20" t="n">
        <v>2</v>
      </c>
      <c r="H683" s="20" t="n">
        <v>49</v>
      </c>
      <c r="I683" s="20" t="s">
        <v>199</v>
      </c>
    </row>
    <row r="684" customFormat="false" ht="15" hidden="false" customHeight="false" outlineLevel="0" collapsed="false">
      <c r="A684" s="20" t="s">
        <v>1334</v>
      </c>
      <c r="B684" s="20" t="s">
        <v>1335</v>
      </c>
      <c r="C684" s="20" t="s">
        <v>69</v>
      </c>
      <c r="D684" s="20" t="s">
        <v>157</v>
      </c>
      <c r="E684" s="20" t="s">
        <v>81</v>
      </c>
      <c r="F684" s="20" t="s">
        <v>67</v>
      </c>
      <c r="G684" s="20" t="n">
        <v>2</v>
      </c>
      <c r="H684" s="20" t="n">
        <v>45</v>
      </c>
      <c r="I684" s="20" t="s">
        <v>50</v>
      </c>
    </row>
    <row r="685" customFormat="false" ht="15" hidden="false" customHeight="false" outlineLevel="0" collapsed="false">
      <c r="A685" s="20" t="s">
        <v>1336</v>
      </c>
      <c r="B685" s="20" t="s">
        <v>1231</v>
      </c>
      <c r="C685" s="20" t="s">
        <v>69</v>
      </c>
      <c r="D685" s="20" t="s">
        <v>301</v>
      </c>
      <c r="E685" s="20" t="s">
        <v>92</v>
      </c>
      <c r="F685" s="20" t="s">
        <v>93</v>
      </c>
      <c r="G685" s="20" t="n">
        <v>1</v>
      </c>
      <c r="H685" s="20" t="n">
        <v>15</v>
      </c>
      <c r="I685" s="20" t="s">
        <v>50</v>
      </c>
    </row>
    <row r="686" customFormat="false" ht="15" hidden="false" customHeight="false" outlineLevel="0" collapsed="false">
      <c r="A686" s="20" t="s">
        <v>1337</v>
      </c>
      <c r="B686" s="20" t="s">
        <v>518</v>
      </c>
      <c r="C686" s="20" t="s">
        <v>174</v>
      </c>
      <c r="D686" s="20" t="s">
        <v>157</v>
      </c>
      <c r="E686" s="20" t="s">
        <v>81</v>
      </c>
      <c r="F686" s="20" t="s">
        <v>67</v>
      </c>
      <c r="G686" s="20" t="n">
        <v>4</v>
      </c>
      <c r="H686" s="20" t="n">
        <v>45</v>
      </c>
      <c r="I686" s="20" t="s">
        <v>50</v>
      </c>
    </row>
    <row r="687" customFormat="false" ht="15" hidden="false" customHeight="false" outlineLevel="0" collapsed="false">
      <c r="A687" s="20" t="s">
        <v>1338</v>
      </c>
      <c r="B687" s="20" t="s">
        <v>1339</v>
      </c>
      <c r="C687" s="20" t="s">
        <v>100</v>
      </c>
      <c r="D687" s="20" t="s">
        <v>47</v>
      </c>
      <c r="E687" s="20" t="s">
        <v>92</v>
      </c>
      <c r="F687" s="20" t="s">
        <v>93</v>
      </c>
      <c r="G687" s="20" t="n">
        <v>1</v>
      </c>
      <c r="H687" s="20" t="n">
        <v>15</v>
      </c>
      <c r="I687" s="20" t="s">
        <v>136</v>
      </c>
    </row>
    <row r="688" customFormat="false" ht="15" hidden="false" customHeight="false" outlineLevel="0" collapsed="false">
      <c r="A688" s="20" t="s">
        <v>1340</v>
      </c>
      <c r="B688" s="20" t="s">
        <v>436</v>
      </c>
      <c r="C688" s="20"/>
      <c r="D688" s="20" t="s">
        <v>47</v>
      </c>
      <c r="E688" s="20" t="s">
        <v>54</v>
      </c>
      <c r="F688" s="20" t="s">
        <v>72</v>
      </c>
      <c r="G688" s="20" t="n">
        <v>1</v>
      </c>
      <c r="H688" s="20" t="n">
        <v>24</v>
      </c>
      <c r="I688" s="20" t="s">
        <v>50</v>
      </c>
    </row>
    <row r="689" customFormat="false" ht="15" hidden="false" customHeight="false" outlineLevel="0" collapsed="false">
      <c r="A689" s="20" t="s">
        <v>1341</v>
      </c>
      <c r="B689" s="21" t="n">
        <v>45720</v>
      </c>
      <c r="C689" s="20"/>
      <c r="D689" s="20" t="s">
        <v>70</v>
      </c>
      <c r="E689" s="20" t="s">
        <v>48</v>
      </c>
      <c r="F689" s="20" t="s">
        <v>144</v>
      </c>
      <c r="G689" s="20" t="n">
        <v>2</v>
      </c>
      <c r="H689" s="20" t="n">
        <v>54</v>
      </c>
      <c r="I689" s="20" t="s">
        <v>50</v>
      </c>
    </row>
    <row r="690" customFormat="false" ht="15" hidden="false" customHeight="false" outlineLevel="0" collapsed="false">
      <c r="A690" s="20" t="s">
        <v>1342</v>
      </c>
      <c r="B690" s="20" t="s">
        <v>417</v>
      </c>
      <c r="C690" s="20" t="s">
        <v>143</v>
      </c>
      <c r="D690" s="20" t="s">
        <v>47</v>
      </c>
      <c r="E690" s="20" t="s">
        <v>110</v>
      </c>
      <c r="F690" s="20" t="s">
        <v>111</v>
      </c>
      <c r="G690" s="20" t="n">
        <v>1</v>
      </c>
      <c r="H690" s="20" t="s">
        <v>329</v>
      </c>
      <c r="I690" s="20" t="s">
        <v>50</v>
      </c>
    </row>
    <row r="691" customFormat="false" ht="15" hidden="false" customHeight="false" outlineLevel="0" collapsed="false">
      <c r="A691" s="20" t="s">
        <v>1343</v>
      </c>
      <c r="B691" s="21" t="n">
        <v>45911</v>
      </c>
      <c r="C691" s="20" t="s">
        <v>375</v>
      </c>
      <c r="D691" s="20" t="s">
        <v>109</v>
      </c>
      <c r="E691" s="20" t="s">
        <v>234</v>
      </c>
      <c r="F691" s="20" t="s">
        <v>67</v>
      </c>
      <c r="G691" s="20" t="n">
        <v>1</v>
      </c>
      <c r="H691" s="20" t="n">
        <v>45</v>
      </c>
      <c r="I691" s="20" t="s">
        <v>50</v>
      </c>
    </row>
    <row r="692" customFormat="false" ht="15" hidden="false" customHeight="false" outlineLevel="0" collapsed="false">
      <c r="A692" s="20" t="s">
        <v>1344</v>
      </c>
      <c r="B692" s="20" t="s">
        <v>1345</v>
      </c>
      <c r="C692" s="20" t="s">
        <v>269</v>
      </c>
      <c r="D692" s="20" t="s">
        <v>202</v>
      </c>
      <c r="E692" s="20" t="s">
        <v>110</v>
      </c>
      <c r="F692" s="20" t="s">
        <v>111</v>
      </c>
      <c r="G692" s="20" t="n">
        <v>1</v>
      </c>
      <c r="H692" s="20" t="n">
        <v>16</v>
      </c>
      <c r="I692" s="20" t="s">
        <v>112</v>
      </c>
    </row>
    <row r="693" customFormat="false" ht="15" hidden="false" customHeight="false" outlineLevel="0" collapsed="false">
      <c r="A693" s="20" t="s">
        <v>1346</v>
      </c>
      <c r="B693" s="20" t="s">
        <v>1347</v>
      </c>
      <c r="C693" s="20" t="s">
        <v>115</v>
      </c>
      <c r="D693" s="20" t="s">
        <v>47</v>
      </c>
      <c r="E693" s="20" t="s">
        <v>54</v>
      </c>
      <c r="F693" s="20" t="s">
        <v>55</v>
      </c>
      <c r="G693" s="20" t="n">
        <v>2</v>
      </c>
      <c r="H693" s="20" t="n">
        <v>38</v>
      </c>
      <c r="I693" s="20" t="s">
        <v>50</v>
      </c>
    </row>
    <row r="694" customFormat="false" ht="15" hidden="false" customHeight="false" outlineLevel="0" collapsed="false">
      <c r="A694" s="20" t="s">
        <v>1348</v>
      </c>
      <c r="B694" s="20" t="s">
        <v>1349</v>
      </c>
      <c r="C694" s="20" t="s">
        <v>486</v>
      </c>
      <c r="D694" s="20" t="s">
        <v>301</v>
      </c>
      <c r="E694" s="20" t="s">
        <v>48</v>
      </c>
      <c r="F694" s="20" t="s">
        <v>144</v>
      </c>
      <c r="G694" s="20" t="n">
        <v>1</v>
      </c>
      <c r="H694" s="20" t="n">
        <v>54</v>
      </c>
      <c r="I694" s="20" t="s">
        <v>50</v>
      </c>
    </row>
    <row r="695" customFormat="false" ht="15" hidden="false" customHeight="false" outlineLevel="0" collapsed="false">
      <c r="A695" s="20" t="s">
        <v>1350</v>
      </c>
      <c r="B695" s="20" t="s">
        <v>872</v>
      </c>
      <c r="C695" s="20" t="s">
        <v>909</v>
      </c>
      <c r="D695" s="20" t="s">
        <v>222</v>
      </c>
      <c r="E695" s="20" t="s">
        <v>60</v>
      </c>
      <c r="F695" s="20" t="s">
        <v>61</v>
      </c>
      <c r="G695" s="20" t="n">
        <v>1</v>
      </c>
      <c r="H695" s="20" t="n">
        <v>35</v>
      </c>
      <c r="I695" s="20" t="s">
        <v>50</v>
      </c>
    </row>
    <row r="696" customFormat="false" ht="15" hidden="false" customHeight="false" outlineLevel="0" collapsed="false">
      <c r="A696" s="20" t="s">
        <v>1351</v>
      </c>
      <c r="B696" s="20" t="s">
        <v>1352</v>
      </c>
      <c r="C696" s="20" t="s">
        <v>431</v>
      </c>
      <c r="D696" s="20" t="s">
        <v>59</v>
      </c>
      <c r="E696" s="20" t="s">
        <v>81</v>
      </c>
      <c r="F696" s="20" t="s">
        <v>67</v>
      </c>
      <c r="G696" s="20" t="n">
        <v>2</v>
      </c>
      <c r="H696" s="20" t="n">
        <v>45</v>
      </c>
      <c r="I696" s="20" t="s">
        <v>50</v>
      </c>
    </row>
    <row r="697" customFormat="false" ht="15" hidden="false" customHeight="false" outlineLevel="0" collapsed="false">
      <c r="A697" s="20" t="s">
        <v>1353</v>
      </c>
      <c r="B697" s="20" t="s">
        <v>285</v>
      </c>
      <c r="C697" s="20" t="s">
        <v>46</v>
      </c>
      <c r="D697" s="20" t="s">
        <v>65</v>
      </c>
      <c r="E697" s="20" t="s">
        <v>110</v>
      </c>
      <c r="F697" s="20" t="s">
        <v>111</v>
      </c>
      <c r="G697" s="20" t="n">
        <v>3</v>
      </c>
      <c r="H697" s="20" t="s">
        <v>329</v>
      </c>
      <c r="I697" s="20" t="s">
        <v>50</v>
      </c>
    </row>
    <row r="698" customFormat="false" ht="15" hidden="false" customHeight="false" outlineLevel="0" collapsed="false">
      <c r="A698" s="20" t="s">
        <v>1354</v>
      </c>
      <c r="B698" s="21" t="n">
        <v>45963</v>
      </c>
      <c r="C698" s="20" t="s">
        <v>494</v>
      </c>
      <c r="D698" s="20" t="s">
        <v>47</v>
      </c>
      <c r="E698" s="20" t="s">
        <v>48</v>
      </c>
      <c r="F698" s="20" t="s">
        <v>116</v>
      </c>
      <c r="G698" s="20" t="n">
        <v>4</v>
      </c>
      <c r="H698" s="20" t="n">
        <v>28</v>
      </c>
      <c r="I698" s="20" t="s">
        <v>50</v>
      </c>
    </row>
    <row r="699" customFormat="false" ht="15" hidden="false" customHeight="false" outlineLevel="0" collapsed="false">
      <c r="A699" s="20" t="s">
        <v>1355</v>
      </c>
      <c r="B699" s="20" t="s">
        <v>1356</v>
      </c>
      <c r="C699" s="20" t="s">
        <v>1197</v>
      </c>
      <c r="D699" s="20" t="s">
        <v>47</v>
      </c>
      <c r="E699" s="20" t="s">
        <v>48</v>
      </c>
      <c r="F699" s="20" t="s">
        <v>144</v>
      </c>
      <c r="G699" s="20" t="n">
        <v>1</v>
      </c>
      <c r="H699" s="20" t="s">
        <v>229</v>
      </c>
      <c r="I699" s="20" t="s">
        <v>50</v>
      </c>
    </row>
    <row r="700" customFormat="false" ht="15" hidden="false" customHeight="false" outlineLevel="0" collapsed="false">
      <c r="A700" s="20" t="s">
        <v>1357</v>
      </c>
      <c r="B700" s="20" t="s">
        <v>611</v>
      </c>
      <c r="C700" s="20" t="s">
        <v>431</v>
      </c>
      <c r="D700" s="20" t="s">
        <v>47</v>
      </c>
      <c r="E700" s="20" t="s">
        <v>48</v>
      </c>
      <c r="F700" s="20" t="s">
        <v>144</v>
      </c>
      <c r="G700" s="20" t="n">
        <v>2</v>
      </c>
      <c r="H700" s="20" t="n">
        <v>54</v>
      </c>
      <c r="I700" s="20" t="s">
        <v>50</v>
      </c>
    </row>
    <row r="701" customFormat="false" ht="15" hidden="false" customHeight="false" outlineLevel="0" collapsed="false">
      <c r="A701" s="20" t="s">
        <v>1358</v>
      </c>
      <c r="B701" s="20" t="s">
        <v>1069</v>
      </c>
      <c r="C701" s="20" t="s">
        <v>233</v>
      </c>
      <c r="D701" s="20" t="s">
        <v>59</v>
      </c>
      <c r="E701" s="20" t="s">
        <v>92</v>
      </c>
      <c r="F701" s="20" t="s">
        <v>105</v>
      </c>
      <c r="G701" s="20" t="n">
        <v>1</v>
      </c>
      <c r="H701" s="20" t="n">
        <v>49</v>
      </c>
      <c r="I701" s="20" t="s">
        <v>50</v>
      </c>
    </row>
    <row r="702" customFormat="false" ht="15" hidden="false" customHeight="false" outlineLevel="0" collapsed="false">
      <c r="A702" s="20" t="s">
        <v>536</v>
      </c>
      <c r="B702" s="20" t="s">
        <v>537</v>
      </c>
      <c r="C702" s="20" t="s">
        <v>415</v>
      </c>
      <c r="D702" s="20" t="s">
        <v>47</v>
      </c>
      <c r="E702" s="20" t="s">
        <v>120</v>
      </c>
      <c r="F702" s="20" t="s">
        <v>111</v>
      </c>
      <c r="G702" s="20" t="n">
        <v>2</v>
      </c>
      <c r="H702" s="20" t="n">
        <v>16</v>
      </c>
      <c r="I702" s="20" t="s">
        <v>50</v>
      </c>
    </row>
    <row r="703" customFormat="false" ht="15" hidden="false" customHeight="false" outlineLevel="0" collapsed="false">
      <c r="A703" s="20" t="s">
        <v>1359</v>
      </c>
      <c r="B703" s="20" t="s">
        <v>1194</v>
      </c>
      <c r="C703" s="20" t="s">
        <v>161</v>
      </c>
      <c r="D703" s="20" t="s">
        <v>109</v>
      </c>
      <c r="E703" s="20" t="s">
        <v>48</v>
      </c>
      <c r="F703" s="20" t="s">
        <v>49</v>
      </c>
      <c r="G703" s="20" t="n">
        <v>2</v>
      </c>
      <c r="H703" s="20" t="n">
        <v>18</v>
      </c>
      <c r="I703" s="20" t="s">
        <v>50</v>
      </c>
    </row>
    <row r="704" customFormat="false" ht="15" hidden="false" customHeight="false" outlineLevel="0" collapsed="false">
      <c r="A704" s="20" t="s">
        <v>1056</v>
      </c>
      <c r="B704" s="21" t="n">
        <v>45850</v>
      </c>
      <c r="C704" s="20" t="s">
        <v>1018</v>
      </c>
      <c r="D704" s="20" t="s">
        <v>47</v>
      </c>
      <c r="E704" s="20" t="s">
        <v>92</v>
      </c>
      <c r="F704" s="20" t="s">
        <v>93</v>
      </c>
      <c r="G704" s="20" t="n">
        <v>1</v>
      </c>
      <c r="H704" s="20" t="s">
        <v>94</v>
      </c>
      <c r="I704" s="20" t="s">
        <v>50</v>
      </c>
    </row>
    <row r="705" customFormat="false" ht="15" hidden="false" customHeight="false" outlineLevel="0" collapsed="false">
      <c r="A705" s="20" t="s">
        <v>1360</v>
      </c>
      <c r="B705" s="20" t="s">
        <v>1361</v>
      </c>
      <c r="C705" s="20" t="s">
        <v>286</v>
      </c>
      <c r="D705" s="20" t="s">
        <v>59</v>
      </c>
      <c r="E705" s="20" t="s">
        <v>71</v>
      </c>
      <c r="F705" s="20" t="s">
        <v>72</v>
      </c>
      <c r="G705" s="20" t="n">
        <v>2</v>
      </c>
      <c r="H705" s="20" t="n">
        <v>24</v>
      </c>
      <c r="I705" s="20" t="s">
        <v>112</v>
      </c>
    </row>
    <row r="706" customFormat="false" ht="15" hidden="false" customHeight="false" outlineLevel="0" collapsed="false">
      <c r="A706" s="20" t="s">
        <v>1362</v>
      </c>
      <c r="B706" s="20" t="s">
        <v>1363</v>
      </c>
      <c r="C706" s="20" t="s">
        <v>281</v>
      </c>
      <c r="D706" s="20" t="s">
        <v>70</v>
      </c>
      <c r="E706" s="20" t="s">
        <v>48</v>
      </c>
      <c r="F706" s="20" t="s">
        <v>144</v>
      </c>
      <c r="G706" s="20" t="n">
        <v>3</v>
      </c>
      <c r="H706" s="20" t="s">
        <v>229</v>
      </c>
      <c r="I706" s="20" t="s">
        <v>50</v>
      </c>
    </row>
    <row r="707" customFormat="false" ht="15" hidden="false" customHeight="false" outlineLevel="0" collapsed="false">
      <c r="A707" s="20" t="s">
        <v>1364</v>
      </c>
      <c r="B707" s="21" t="n">
        <v>45871</v>
      </c>
      <c r="C707" s="20" t="s">
        <v>1197</v>
      </c>
      <c r="D707" s="20" t="s">
        <v>47</v>
      </c>
      <c r="E707" s="20" t="s">
        <v>81</v>
      </c>
      <c r="F707" s="20" t="s">
        <v>67</v>
      </c>
      <c r="G707" s="20" t="n">
        <v>1</v>
      </c>
      <c r="H707" s="20" t="n">
        <v>45</v>
      </c>
      <c r="I707" s="20" t="s">
        <v>50</v>
      </c>
    </row>
    <row r="708" customFormat="false" ht="15" hidden="false" customHeight="false" outlineLevel="0" collapsed="false">
      <c r="A708" s="20" t="s">
        <v>1365</v>
      </c>
      <c r="B708" s="20" t="s">
        <v>580</v>
      </c>
      <c r="C708" s="20" t="s">
        <v>526</v>
      </c>
      <c r="D708" s="20" t="s">
        <v>157</v>
      </c>
      <c r="E708" s="20" t="s">
        <v>48</v>
      </c>
      <c r="F708" s="20" t="s">
        <v>144</v>
      </c>
      <c r="G708" s="20" t="n">
        <v>1</v>
      </c>
      <c r="H708" s="20" t="n">
        <v>54</v>
      </c>
      <c r="I708" s="20" t="s">
        <v>112</v>
      </c>
    </row>
    <row r="709" customFormat="false" ht="15" hidden="false" customHeight="false" outlineLevel="0" collapsed="false">
      <c r="A709" s="20" t="s">
        <v>1366</v>
      </c>
      <c r="B709" s="20" t="s">
        <v>1367</v>
      </c>
      <c r="C709" s="20" t="s">
        <v>486</v>
      </c>
      <c r="D709" s="20" t="s">
        <v>47</v>
      </c>
      <c r="E709" s="20" t="s">
        <v>110</v>
      </c>
      <c r="F709" s="20" t="s">
        <v>121</v>
      </c>
      <c r="G709" s="20" t="n">
        <v>2</v>
      </c>
      <c r="H709" s="20" t="n">
        <v>21</v>
      </c>
      <c r="I709" s="20" t="s">
        <v>50</v>
      </c>
    </row>
    <row r="710" customFormat="false" ht="15" hidden="false" customHeight="false" outlineLevel="0" collapsed="false">
      <c r="A710" s="20" t="s">
        <v>1368</v>
      </c>
      <c r="B710" s="20" t="s">
        <v>703</v>
      </c>
      <c r="C710" s="20" t="s">
        <v>143</v>
      </c>
      <c r="D710" s="20" t="s">
        <v>70</v>
      </c>
      <c r="E710" s="20" t="s">
        <v>81</v>
      </c>
      <c r="F710" s="20" t="s">
        <v>67</v>
      </c>
      <c r="G710" s="20" t="n">
        <v>1</v>
      </c>
      <c r="H710" s="20" t="n">
        <v>45</v>
      </c>
      <c r="I710" s="20" t="s">
        <v>50</v>
      </c>
    </row>
    <row r="711" customFormat="false" ht="15" hidden="false" customHeight="false" outlineLevel="0" collapsed="false">
      <c r="A711" s="20" t="s">
        <v>1369</v>
      </c>
      <c r="B711" s="20" t="s">
        <v>1370</v>
      </c>
      <c r="C711" s="20" t="s">
        <v>143</v>
      </c>
      <c r="D711" s="20" t="s">
        <v>59</v>
      </c>
      <c r="E711" s="20" t="s">
        <v>48</v>
      </c>
      <c r="F711" s="20" t="s">
        <v>144</v>
      </c>
      <c r="G711" s="20" t="n">
        <v>1</v>
      </c>
      <c r="H711" s="20" t="n">
        <v>54</v>
      </c>
      <c r="I711" s="20" t="s">
        <v>50</v>
      </c>
    </row>
    <row r="712" customFormat="false" ht="15" hidden="false" customHeight="false" outlineLevel="0" collapsed="false">
      <c r="A712" s="20" t="s">
        <v>1371</v>
      </c>
      <c r="B712" s="21" t="n">
        <v>45972</v>
      </c>
      <c r="C712" s="20" t="s">
        <v>125</v>
      </c>
      <c r="D712" s="20" t="s">
        <v>70</v>
      </c>
      <c r="E712" s="20" t="s">
        <v>81</v>
      </c>
      <c r="F712" s="20" t="s">
        <v>67</v>
      </c>
      <c r="G712" s="20" t="n">
        <v>2</v>
      </c>
      <c r="H712" s="20" t="n">
        <v>45</v>
      </c>
      <c r="I712" s="20" t="s">
        <v>50</v>
      </c>
    </row>
    <row r="713" customFormat="false" ht="15" hidden="false" customHeight="false" outlineLevel="0" collapsed="false">
      <c r="A713" s="20" t="s">
        <v>1372</v>
      </c>
      <c r="B713" s="20" t="s">
        <v>1373</v>
      </c>
      <c r="C713" s="20" t="s">
        <v>278</v>
      </c>
      <c r="D713" s="20" t="s">
        <v>47</v>
      </c>
      <c r="E713" s="20" t="s">
        <v>92</v>
      </c>
      <c r="F713" s="20" t="s">
        <v>196</v>
      </c>
      <c r="G713" s="20" t="n">
        <v>1</v>
      </c>
      <c r="H713" s="20" t="s">
        <v>220</v>
      </c>
      <c r="I713" s="20" t="s">
        <v>50</v>
      </c>
    </row>
    <row r="714" customFormat="false" ht="15" hidden="false" customHeight="false" outlineLevel="0" collapsed="false">
      <c r="A714" s="20" t="s">
        <v>1374</v>
      </c>
      <c r="B714" s="21" t="n">
        <v>45955</v>
      </c>
      <c r="C714" s="20" t="s">
        <v>592</v>
      </c>
      <c r="D714" s="20" t="s">
        <v>707</v>
      </c>
      <c r="E714" s="20" t="s">
        <v>92</v>
      </c>
      <c r="F714" s="20" t="s">
        <v>196</v>
      </c>
      <c r="G714" s="20" t="n">
        <v>1</v>
      </c>
      <c r="H714" s="20" t="n">
        <v>89</v>
      </c>
      <c r="I714" s="20" t="s">
        <v>50</v>
      </c>
    </row>
    <row r="715" customFormat="false" ht="15" hidden="false" customHeight="false" outlineLevel="0" collapsed="false">
      <c r="A715" s="20" t="s">
        <v>1375</v>
      </c>
      <c r="B715" s="20" t="s">
        <v>1376</v>
      </c>
      <c r="C715" s="20" t="s">
        <v>483</v>
      </c>
      <c r="D715" s="20" t="s">
        <v>47</v>
      </c>
      <c r="E715" s="20" t="s">
        <v>92</v>
      </c>
      <c r="F715" s="20" t="s">
        <v>196</v>
      </c>
      <c r="G715" s="20" t="n">
        <v>1</v>
      </c>
      <c r="H715" s="20" t="n">
        <v>89</v>
      </c>
      <c r="I715" s="20" t="s">
        <v>50</v>
      </c>
    </row>
    <row r="716" customFormat="false" ht="15" hidden="false" customHeight="false" outlineLevel="0" collapsed="false">
      <c r="A716" s="20" t="s">
        <v>1377</v>
      </c>
      <c r="B716" s="21" t="n">
        <v>45935</v>
      </c>
      <c r="C716" s="20" t="s">
        <v>1378</v>
      </c>
      <c r="D716" s="20" t="s">
        <v>47</v>
      </c>
      <c r="E716" s="20" t="s">
        <v>81</v>
      </c>
      <c r="F716" s="20" t="s">
        <v>82</v>
      </c>
      <c r="G716" s="20" t="n">
        <v>1</v>
      </c>
      <c r="H716" s="20" t="n">
        <v>22</v>
      </c>
      <c r="I716" s="20" t="s">
        <v>50</v>
      </c>
    </row>
    <row r="717" customFormat="false" ht="15" hidden="false" customHeight="false" outlineLevel="0" collapsed="false">
      <c r="A717" s="20" t="s">
        <v>1379</v>
      </c>
      <c r="B717" s="20" t="s">
        <v>1264</v>
      </c>
      <c r="C717" s="20" t="s">
        <v>189</v>
      </c>
      <c r="D717" s="20" t="s">
        <v>70</v>
      </c>
      <c r="E717" s="20" t="s">
        <v>71</v>
      </c>
      <c r="F717" s="20" t="s">
        <v>72</v>
      </c>
      <c r="G717" s="20" t="n">
        <v>1</v>
      </c>
      <c r="H717" s="20" t="n">
        <v>24</v>
      </c>
      <c r="I717" s="20" t="s">
        <v>199</v>
      </c>
    </row>
    <row r="718" customFormat="false" ht="15" hidden="false" customHeight="false" outlineLevel="0" collapsed="false">
      <c r="A718" s="20" t="s">
        <v>1380</v>
      </c>
      <c r="B718" s="20" t="s">
        <v>1381</v>
      </c>
      <c r="C718" s="20" t="s">
        <v>1378</v>
      </c>
      <c r="D718" s="20" t="s">
        <v>47</v>
      </c>
      <c r="E718" s="20" t="s">
        <v>54</v>
      </c>
      <c r="F718" s="20" t="s">
        <v>55</v>
      </c>
      <c r="G718" s="20" t="n">
        <v>1</v>
      </c>
      <c r="H718" s="20" t="n">
        <v>38</v>
      </c>
      <c r="I718" s="20" t="s">
        <v>50</v>
      </c>
    </row>
    <row r="719" customFormat="false" ht="15" hidden="false" customHeight="false" outlineLevel="0" collapsed="false">
      <c r="A719" s="20" t="s">
        <v>1382</v>
      </c>
      <c r="B719" s="20" t="s">
        <v>1383</v>
      </c>
      <c r="C719" s="20" t="s">
        <v>326</v>
      </c>
      <c r="D719" s="20" t="s">
        <v>47</v>
      </c>
      <c r="E719" s="20" t="s">
        <v>228</v>
      </c>
      <c r="F719" s="20" t="s">
        <v>49</v>
      </c>
      <c r="G719" s="20" t="n">
        <v>1</v>
      </c>
      <c r="H719" s="20" t="n">
        <v>18</v>
      </c>
      <c r="I719" s="20" t="s">
        <v>50</v>
      </c>
    </row>
    <row r="720" customFormat="false" ht="15" hidden="false" customHeight="false" outlineLevel="0" collapsed="false">
      <c r="A720" s="20" t="s">
        <v>1384</v>
      </c>
      <c r="B720" s="20" t="s">
        <v>169</v>
      </c>
      <c r="C720" s="20" t="s">
        <v>548</v>
      </c>
      <c r="D720" s="20" t="s">
        <v>47</v>
      </c>
      <c r="E720" s="20" t="s">
        <v>48</v>
      </c>
      <c r="F720" s="20" t="s">
        <v>49</v>
      </c>
      <c r="G720" s="20" t="n">
        <v>2</v>
      </c>
      <c r="H720" s="20" t="n">
        <v>18</v>
      </c>
      <c r="I720" s="20" t="s">
        <v>50</v>
      </c>
    </row>
    <row r="721" customFormat="false" ht="15" hidden="false" customHeight="false" outlineLevel="0" collapsed="false">
      <c r="A721" s="20" t="s">
        <v>1385</v>
      </c>
      <c r="B721" s="20" t="s">
        <v>57</v>
      </c>
      <c r="C721" s="20" t="s">
        <v>483</v>
      </c>
      <c r="D721" s="20" t="s">
        <v>109</v>
      </c>
      <c r="E721" s="20" t="s">
        <v>81</v>
      </c>
      <c r="F721" s="20" t="s">
        <v>82</v>
      </c>
      <c r="G721" s="20" t="n">
        <v>1</v>
      </c>
      <c r="H721" s="20" t="n">
        <v>22</v>
      </c>
      <c r="I721" s="20" t="s">
        <v>50</v>
      </c>
    </row>
    <row r="722" customFormat="false" ht="15" hidden="false" customHeight="false" outlineLevel="0" collapsed="false">
      <c r="A722" s="20" t="s">
        <v>1386</v>
      </c>
      <c r="B722" s="20" t="s">
        <v>194</v>
      </c>
      <c r="C722" s="20" t="s">
        <v>483</v>
      </c>
      <c r="D722" s="20" t="s">
        <v>70</v>
      </c>
      <c r="E722" s="20" t="s">
        <v>48</v>
      </c>
      <c r="F722" s="20" t="s">
        <v>116</v>
      </c>
      <c r="G722" s="20" t="n">
        <v>4</v>
      </c>
      <c r="H722" s="20" t="s">
        <v>162</v>
      </c>
      <c r="I722" s="20" t="s">
        <v>50</v>
      </c>
    </row>
    <row r="723" customFormat="false" ht="15" hidden="false" customHeight="false" outlineLevel="0" collapsed="false">
      <c r="A723" s="20" t="s">
        <v>1387</v>
      </c>
      <c r="B723" s="20" t="s">
        <v>1388</v>
      </c>
      <c r="C723" s="20" t="s">
        <v>75</v>
      </c>
      <c r="D723" s="20" t="s">
        <v>70</v>
      </c>
      <c r="E723" s="20" t="s">
        <v>81</v>
      </c>
      <c r="F723" s="20" t="s">
        <v>67</v>
      </c>
      <c r="G723" s="20" t="n">
        <v>1</v>
      </c>
      <c r="H723" s="20" t="n">
        <v>45</v>
      </c>
      <c r="I723" s="20" t="s">
        <v>136</v>
      </c>
    </row>
    <row r="724" customFormat="false" ht="15" hidden="false" customHeight="false" outlineLevel="0" collapsed="false">
      <c r="A724" s="20" t="s">
        <v>1389</v>
      </c>
      <c r="B724" s="20" t="s">
        <v>1390</v>
      </c>
      <c r="C724" s="20" t="s">
        <v>129</v>
      </c>
      <c r="D724" s="20" t="s">
        <v>59</v>
      </c>
      <c r="E724" s="20" t="s">
        <v>207</v>
      </c>
      <c r="F724" s="20" t="s">
        <v>105</v>
      </c>
      <c r="G724" s="20" t="n">
        <v>1</v>
      </c>
      <c r="H724" s="20" t="n">
        <v>49</v>
      </c>
      <c r="I724" s="20" t="s">
        <v>50</v>
      </c>
    </row>
    <row r="725" customFormat="false" ht="15" hidden="false" customHeight="false" outlineLevel="0" collapsed="false">
      <c r="A725" s="20" t="s">
        <v>1391</v>
      </c>
      <c r="B725" s="20" t="s">
        <v>1392</v>
      </c>
      <c r="C725" s="20" t="s">
        <v>129</v>
      </c>
      <c r="D725" s="20" t="s">
        <v>47</v>
      </c>
      <c r="E725" s="20" t="s">
        <v>372</v>
      </c>
      <c r="F725" s="20" t="s">
        <v>121</v>
      </c>
      <c r="G725" s="20" t="n">
        <v>1</v>
      </c>
      <c r="H725" s="20" t="s">
        <v>122</v>
      </c>
      <c r="I725" s="20" t="s">
        <v>163</v>
      </c>
    </row>
    <row r="726" customFormat="false" ht="15" hidden="false" customHeight="false" outlineLevel="0" collapsed="false">
      <c r="A726" s="20" t="s">
        <v>324</v>
      </c>
      <c r="B726" s="20" t="s">
        <v>325</v>
      </c>
      <c r="C726" s="20" t="s">
        <v>326</v>
      </c>
      <c r="D726" s="20" t="s">
        <v>157</v>
      </c>
      <c r="E726" s="20" t="s">
        <v>92</v>
      </c>
      <c r="F726" s="20" t="s">
        <v>93</v>
      </c>
      <c r="G726" s="20" t="n">
        <v>1</v>
      </c>
      <c r="H726" s="20" t="s">
        <v>94</v>
      </c>
      <c r="I726" s="20" t="s">
        <v>50</v>
      </c>
    </row>
    <row r="727" customFormat="false" ht="15" hidden="false" customHeight="false" outlineLevel="0" collapsed="false">
      <c r="A727" s="20" t="s">
        <v>1393</v>
      </c>
      <c r="B727" s="21" t="n">
        <v>46004</v>
      </c>
      <c r="C727" s="20" t="s">
        <v>91</v>
      </c>
      <c r="D727" s="20" t="s">
        <v>59</v>
      </c>
      <c r="E727" s="20" t="s">
        <v>81</v>
      </c>
      <c r="F727" s="20" t="s">
        <v>67</v>
      </c>
      <c r="G727" s="20" t="n">
        <v>2</v>
      </c>
      <c r="H727" s="20" t="n">
        <v>45</v>
      </c>
      <c r="I727" s="20" t="s">
        <v>50</v>
      </c>
    </row>
    <row r="728" customFormat="false" ht="15" hidden="false" customHeight="false" outlineLevel="0" collapsed="false">
      <c r="A728" s="20" t="s">
        <v>1394</v>
      </c>
      <c r="B728" s="20" t="s">
        <v>1395</v>
      </c>
      <c r="C728" s="20" t="s">
        <v>214</v>
      </c>
      <c r="D728" s="20" t="s">
        <v>1014</v>
      </c>
      <c r="E728" s="20" t="s">
        <v>48</v>
      </c>
      <c r="F728" s="20" t="s">
        <v>116</v>
      </c>
      <c r="G728" s="20" t="n">
        <v>3</v>
      </c>
      <c r="H728" s="20" t="s">
        <v>162</v>
      </c>
      <c r="I728" s="20" t="s">
        <v>50</v>
      </c>
    </row>
    <row r="729" customFormat="false" ht="15" hidden="false" customHeight="false" outlineLevel="0" collapsed="false">
      <c r="A729" s="20" t="s">
        <v>1396</v>
      </c>
      <c r="B729" s="20" t="s">
        <v>1397</v>
      </c>
      <c r="C729" s="20" t="s">
        <v>58</v>
      </c>
      <c r="D729" s="20" t="s">
        <v>157</v>
      </c>
      <c r="E729" s="20" t="s">
        <v>207</v>
      </c>
      <c r="F729" s="20" t="s">
        <v>93</v>
      </c>
      <c r="G729" s="20" t="n">
        <v>1</v>
      </c>
      <c r="H729" s="20" t="n">
        <v>15</v>
      </c>
      <c r="I729" s="20" t="s">
        <v>50</v>
      </c>
    </row>
    <row r="730" customFormat="false" ht="15" hidden="false" customHeight="false" outlineLevel="0" collapsed="false">
      <c r="A730" s="20" t="s">
        <v>1398</v>
      </c>
      <c r="B730" s="20" t="s">
        <v>1399</v>
      </c>
      <c r="C730" s="20" t="s">
        <v>1221</v>
      </c>
      <c r="D730" s="20" t="s">
        <v>65</v>
      </c>
      <c r="E730" s="20" t="s">
        <v>167</v>
      </c>
      <c r="F730" s="20" t="s">
        <v>55</v>
      </c>
      <c r="G730" s="20" t="n">
        <v>2</v>
      </c>
      <c r="H730" s="20" t="s">
        <v>259</v>
      </c>
      <c r="I730" s="20" t="s">
        <v>50</v>
      </c>
    </row>
    <row r="731" customFormat="false" ht="15" hidden="false" customHeight="false" outlineLevel="0" collapsed="false">
      <c r="A731" s="20" t="s">
        <v>1400</v>
      </c>
      <c r="B731" s="20" t="s">
        <v>1219</v>
      </c>
      <c r="C731" s="20" t="s">
        <v>161</v>
      </c>
      <c r="D731" s="20" t="s">
        <v>47</v>
      </c>
      <c r="E731" s="20" t="s">
        <v>54</v>
      </c>
      <c r="F731" s="20" t="s">
        <v>76</v>
      </c>
      <c r="G731" s="20" t="n">
        <v>1</v>
      </c>
      <c r="H731" s="20" t="n">
        <v>32</v>
      </c>
      <c r="I731" s="20" t="s">
        <v>50</v>
      </c>
    </row>
    <row r="732" customFormat="false" ht="15" hidden="false" customHeight="false" outlineLevel="0" collapsed="false">
      <c r="A732" s="20" t="s">
        <v>1401</v>
      </c>
      <c r="B732" s="21" t="n">
        <v>45974</v>
      </c>
      <c r="C732" s="20" t="s">
        <v>437</v>
      </c>
      <c r="D732" s="20" t="s">
        <v>59</v>
      </c>
      <c r="E732" s="20" t="s">
        <v>92</v>
      </c>
      <c r="F732" s="20" t="s">
        <v>105</v>
      </c>
      <c r="G732" s="20" t="n">
        <v>3</v>
      </c>
      <c r="H732" s="20" t="n">
        <v>49</v>
      </c>
      <c r="I732" s="20" t="s">
        <v>50</v>
      </c>
    </row>
    <row r="733" customFormat="false" ht="15" hidden="false" customHeight="false" outlineLevel="0" collapsed="false">
      <c r="A733" s="20" t="s">
        <v>1402</v>
      </c>
      <c r="B733" s="20" t="s">
        <v>226</v>
      </c>
      <c r="C733" s="20" t="s">
        <v>192</v>
      </c>
      <c r="D733" s="20" t="s">
        <v>70</v>
      </c>
      <c r="E733" s="20" t="s">
        <v>110</v>
      </c>
      <c r="F733" s="20" t="s">
        <v>111</v>
      </c>
      <c r="G733" s="20" t="n">
        <v>2</v>
      </c>
      <c r="H733" s="20" t="n">
        <v>16</v>
      </c>
      <c r="I733" s="20" t="s">
        <v>50</v>
      </c>
    </row>
    <row r="734" customFormat="false" ht="15" hidden="false" customHeight="false" outlineLevel="0" collapsed="false">
      <c r="A734" s="20" t="s">
        <v>1403</v>
      </c>
      <c r="B734" s="20" t="s">
        <v>1404</v>
      </c>
      <c r="C734" s="20" t="s">
        <v>214</v>
      </c>
      <c r="D734" s="20" t="s">
        <v>47</v>
      </c>
      <c r="E734" s="20" t="s">
        <v>92</v>
      </c>
      <c r="F734" s="20" t="s">
        <v>105</v>
      </c>
      <c r="G734" s="20" t="n">
        <v>1</v>
      </c>
      <c r="H734" s="20" t="n">
        <v>49</v>
      </c>
      <c r="I734" s="20" t="s">
        <v>199</v>
      </c>
    </row>
    <row r="735" customFormat="false" ht="15" hidden="false" customHeight="false" outlineLevel="0" collapsed="false">
      <c r="A735" s="20" t="s">
        <v>1405</v>
      </c>
      <c r="B735" s="20" t="s">
        <v>1406</v>
      </c>
      <c r="C735" s="20" t="s">
        <v>250</v>
      </c>
      <c r="D735" s="20" t="s">
        <v>65</v>
      </c>
      <c r="E735" s="20" t="s">
        <v>92</v>
      </c>
      <c r="F735" s="20" t="s">
        <v>93</v>
      </c>
      <c r="G735" s="20" t="n">
        <v>2</v>
      </c>
      <c r="H735" s="20" t="s">
        <v>94</v>
      </c>
      <c r="I735" s="20" t="s">
        <v>50</v>
      </c>
    </row>
    <row r="736" customFormat="false" ht="15" hidden="false" customHeight="false" outlineLevel="0" collapsed="false">
      <c r="A736" s="20" t="s">
        <v>1407</v>
      </c>
      <c r="B736" s="20" t="s">
        <v>1293</v>
      </c>
      <c r="C736" s="20" t="s">
        <v>272</v>
      </c>
      <c r="D736" s="20" t="s">
        <v>65</v>
      </c>
      <c r="E736" s="20" t="s">
        <v>110</v>
      </c>
      <c r="F736" s="20" t="s">
        <v>111</v>
      </c>
      <c r="G736" s="20" t="n">
        <v>1</v>
      </c>
      <c r="H736" s="20" t="n">
        <v>16</v>
      </c>
      <c r="I736" s="20" t="s">
        <v>50</v>
      </c>
    </row>
    <row r="737" customFormat="false" ht="15" hidden="false" customHeight="false" outlineLevel="0" collapsed="false">
      <c r="A737" s="20" t="s">
        <v>1408</v>
      </c>
      <c r="B737" s="20" t="s">
        <v>1409</v>
      </c>
      <c r="C737" s="20" t="s">
        <v>431</v>
      </c>
      <c r="D737" s="20" t="s">
        <v>65</v>
      </c>
      <c r="E737" s="20" t="s">
        <v>81</v>
      </c>
      <c r="F737" s="20" t="s">
        <v>61</v>
      </c>
      <c r="G737" s="20" t="n">
        <v>2</v>
      </c>
      <c r="H737" s="20" t="n">
        <v>35</v>
      </c>
      <c r="I737" s="20" t="s">
        <v>50</v>
      </c>
    </row>
    <row r="738" customFormat="false" ht="15" hidden="false" customHeight="false" outlineLevel="0" collapsed="false">
      <c r="A738" s="20" t="s">
        <v>1410</v>
      </c>
      <c r="B738" s="20" t="s">
        <v>996</v>
      </c>
      <c r="C738" s="20" t="s">
        <v>424</v>
      </c>
      <c r="D738" s="20" t="s">
        <v>59</v>
      </c>
      <c r="E738" s="20" t="s">
        <v>207</v>
      </c>
      <c r="F738" s="20" t="s">
        <v>93</v>
      </c>
      <c r="G738" s="20" t="n">
        <v>3</v>
      </c>
      <c r="H738" s="20" t="n">
        <v>15</v>
      </c>
      <c r="I738" s="20" t="s">
        <v>50</v>
      </c>
    </row>
    <row r="739" customFormat="false" ht="15" hidden="false" customHeight="false" outlineLevel="0" collapsed="false">
      <c r="A739" s="20" t="s">
        <v>1411</v>
      </c>
      <c r="B739" s="20" t="s">
        <v>1412</v>
      </c>
      <c r="C739" s="20" t="s">
        <v>925</v>
      </c>
      <c r="D739" s="20" t="s">
        <v>109</v>
      </c>
      <c r="E739" s="20" t="s">
        <v>60</v>
      </c>
      <c r="F739" s="20" t="s">
        <v>82</v>
      </c>
      <c r="G739" s="20" t="n">
        <v>1</v>
      </c>
      <c r="H739" s="20" t="n">
        <v>22</v>
      </c>
      <c r="I739" s="20" t="s">
        <v>50</v>
      </c>
    </row>
    <row r="740" customFormat="false" ht="15" hidden="false" customHeight="false" outlineLevel="0" collapsed="false">
      <c r="A740" s="20" t="s">
        <v>1413</v>
      </c>
      <c r="B740" s="20" t="s">
        <v>1046</v>
      </c>
      <c r="C740" s="20" t="s">
        <v>108</v>
      </c>
      <c r="D740" s="20" t="s">
        <v>345</v>
      </c>
      <c r="E740" s="20" t="s">
        <v>92</v>
      </c>
      <c r="F740" s="20" t="s">
        <v>196</v>
      </c>
      <c r="G740" s="20" t="n">
        <v>2</v>
      </c>
      <c r="H740" s="20" t="n">
        <v>89</v>
      </c>
      <c r="I740" s="20" t="s">
        <v>50</v>
      </c>
    </row>
    <row r="741" customFormat="false" ht="15" hidden="false" customHeight="false" outlineLevel="0" collapsed="false">
      <c r="A741" s="20" t="s">
        <v>1414</v>
      </c>
      <c r="B741" s="20" t="s">
        <v>1329</v>
      </c>
      <c r="C741" s="20" t="s">
        <v>104</v>
      </c>
      <c r="D741" s="20" t="s">
        <v>59</v>
      </c>
      <c r="E741" s="20" t="s">
        <v>728</v>
      </c>
      <c r="F741" s="20" t="s">
        <v>105</v>
      </c>
      <c r="G741" s="20" t="n">
        <v>1</v>
      </c>
      <c r="H741" s="20" t="n">
        <v>49</v>
      </c>
      <c r="I741" s="20" t="s">
        <v>50</v>
      </c>
    </row>
    <row r="742" customFormat="false" ht="15" hidden="false" customHeight="false" outlineLevel="0" collapsed="false">
      <c r="A742" s="20" t="s">
        <v>1415</v>
      </c>
      <c r="B742" s="20" t="s">
        <v>1416</v>
      </c>
      <c r="C742" s="20" t="s">
        <v>129</v>
      </c>
      <c r="D742" s="20" t="s">
        <v>59</v>
      </c>
      <c r="E742" s="20" t="s">
        <v>110</v>
      </c>
      <c r="F742" s="20" t="s">
        <v>236</v>
      </c>
      <c r="G742" s="20" t="n">
        <v>1</v>
      </c>
      <c r="H742" s="20" t="n">
        <v>30</v>
      </c>
      <c r="I742" s="20" t="s">
        <v>50</v>
      </c>
    </row>
    <row r="743" customFormat="false" ht="15" hidden="false" customHeight="false" outlineLevel="0" collapsed="false">
      <c r="A743" s="20" t="s">
        <v>1417</v>
      </c>
      <c r="B743" s="21" t="n">
        <v>45871</v>
      </c>
      <c r="C743" s="20" t="s">
        <v>214</v>
      </c>
      <c r="D743" s="20" t="s">
        <v>59</v>
      </c>
      <c r="E743" s="20" t="s">
        <v>92</v>
      </c>
      <c r="F743" s="20" t="s">
        <v>105</v>
      </c>
      <c r="G743" s="20" t="n">
        <v>1</v>
      </c>
      <c r="H743" s="20" t="n">
        <v>49</v>
      </c>
      <c r="I743" s="20" t="s">
        <v>50</v>
      </c>
    </row>
    <row r="744" customFormat="false" ht="15" hidden="false" customHeight="false" outlineLevel="0" collapsed="false">
      <c r="A744" s="20" t="s">
        <v>1418</v>
      </c>
      <c r="B744" s="20" t="s">
        <v>1419</v>
      </c>
      <c r="C744" s="20" t="s">
        <v>522</v>
      </c>
      <c r="D744" s="20" t="s">
        <v>70</v>
      </c>
      <c r="E744" s="20" t="s">
        <v>81</v>
      </c>
      <c r="F744" s="20" t="s">
        <v>82</v>
      </c>
      <c r="G744" s="20" t="n">
        <v>1</v>
      </c>
      <c r="H744" s="20" t="n">
        <v>22</v>
      </c>
      <c r="I744" s="20" t="s">
        <v>50</v>
      </c>
    </row>
    <row r="745" customFormat="false" ht="15" hidden="false" customHeight="false" outlineLevel="0" collapsed="false">
      <c r="A745" s="20" t="s">
        <v>1420</v>
      </c>
      <c r="B745" s="20" t="s">
        <v>1421</v>
      </c>
      <c r="C745" s="20" t="s">
        <v>227</v>
      </c>
      <c r="D745" s="20" t="s">
        <v>70</v>
      </c>
      <c r="E745" s="20" t="s">
        <v>81</v>
      </c>
      <c r="F745" s="20" t="s">
        <v>61</v>
      </c>
      <c r="G745" s="20" t="n">
        <v>1</v>
      </c>
      <c r="H745" s="20" t="n">
        <v>35</v>
      </c>
      <c r="I745" s="20" t="s">
        <v>50</v>
      </c>
    </row>
    <row r="746" customFormat="false" ht="15" hidden="false" customHeight="false" outlineLevel="0" collapsed="false">
      <c r="A746" s="20" t="s">
        <v>1422</v>
      </c>
      <c r="B746" s="20" t="s">
        <v>1423</v>
      </c>
      <c r="C746" s="20" t="s">
        <v>97</v>
      </c>
      <c r="D746" s="20" t="s">
        <v>70</v>
      </c>
      <c r="E746" s="20" t="s">
        <v>110</v>
      </c>
      <c r="F746" s="20" t="s">
        <v>236</v>
      </c>
      <c r="G746" s="20" t="n">
        <v>1</v>
      </c>
      <c r="H746" s="20" t="n">
        <v>30</v>
      </c>
      <c r="I746" s="20" t="s">
        <v>50</v>
      </c>
    </row>
    <row r="747" customFormat="false" ht="15" hidden="false" customHeight="false" outlineLevel="0" collapsed="false">
      <c r="A747" s="20" t="s">
        <v>1424</v>
      </c>
      <c r="B747" s="21" t="n">
        <v>45876</v>
      </c>
      <c r="C747" s="20" t="s">
        <v>338</v>
      </c>
      <c r="D747" s="20" t="s">
        <v>47</v>
      </c>
      <c r="E747" s="20" t="s">
        <v>54</v>
      </c>
      <c r="F747" s="20" t="s">
        <v>72</v>
      </c>
      <c r="G747" s="20" t="n">
        <v>2</v>
      </c>
      <c r="H747" s="20" t="s">
        <v>293</v>
      </c>
      <c r="I747" s="20" t="s">
        <v>50</v>
      </c>
    </row>
    <row r="748" customFormat="false" ht="15" hidden="false" customHeight="false" outlineLevel="0" collapsed="false">
      <c r="A748" s="20" t="s">
        <v>1425</v>
      </c>
      <c r="B748" s="20" t="s">
        <v>1426</v>
      </c>
      <c r="C748" s="20"/>
      <c r="D748" s="20" t="s">
        <v>65</v>
      </c>
      <c r="E748" s="20" t="s">
        <v>54</v>
      </c>
      <c r="F748" s="20" t="s">
        <v>72</v>
      </c>
      <c r="G748" s="20" t="n">
        <v>1</v>
      </c>
      <c r="H748" s="20" t="n">
        <v>24</v>
      </c>
      <c r="I748" s="20" t="s">
        <v>50</v>
      </c>
    </row>
    <row r="749" customFormat="false" ht="15" hidden="false" customHeight="false" outlineLevel="0" collapsed="false">
      <c r="A749" s="20" t="s">
        <v>1427</v>
      </c>
      <c r="B749" s="20" t="s">
        <v>1428</v>
      </c>
      <c r="C749" s="20" t="s">
        <v>97</v>
      </c>
      <c r="D749" s="20" t="s">
        <v>65</v>
      </c>
      <c r="E749" s="20" t="s">
        <v>92</v>
      </c>
      <c r="F749" s="20" t="s">
        <v>196</v>
      </c>
      <c r="G749" s="20" t="n">
        <v>2</v>
      </c>
      <c r="H749" s="20" t="n">
        <v>89</v>
      </c>
      <c r="I749" s="20" t="s">
        <v>50</v>
      </c>
    </row>
    <row r="750" customFormat="false" ht="15" hidden="false" customHeight="false" outlineLevel="0" collapsed="false">
      <c r="A750" s="20" t="s">
        <v>1429</v>
      </c>
      <c r="B750" s="20" t="s">
        <v>1430</v>
      </c>
      <c r="C750" s="20" t="s">
        <v>69</v>
      </c>
      <c r="D750" s="20" t="s">
        <v>65</v>
      </c>
      <c r="E750" s="20" t="s">
        <v>505</v>
      </c>
      <c r="F750" s="20" t="s">
        <v>144</v>
      </c>
      <c r="G750" s="20" t="n">
        <v>1</v>
      </c>
      <c r="H750" s="20" t="s">
        <v>229</v>
      </c>
      <c r="I750" s="20" t="s">
        <v>50</v>
      </c>
    </row>
    <row r="751" customFormat="false" ht="15" hidden="false" customHeight="false" outlineLevel="0" collapsed="false">
      <c r="A751" s="20" t="s">
        <v>1431</v>
      </c>
      <c r="B751" s="20" t="s">
        <v>1432</v>
      </c>
      <c r="C751" s="20" t="s">
        <v>91</v>
      </c>
      <c r="D751" s="20" t="s">
        <v>70</v>
      </c>
      <c r="E751" s="20" t="s">
        <v>292</v>
      </c>
      <c r="F751" s="20" t="s">
        <v>55</v>
      </c>
      <c r="G751" s="20" t="n">
        <v>1</v>
      </c>
      <c r="H751" s="20" t="s">
        <v>259</v>
      </c>
      <c r="I751" s="20" t="s">
        <v>50</v>
      </c>
    </row>
    <row r="752" customFormat="false" ht="15" hidden="false" customHeight="false" outlineLevel="0" collapsed="false">
      <c r="A752" s="20" t="s">
        <v>1433</v>
      </c>
      <c r="B752" s="21" t="n">
        <v>45970</v>
      </c>
      <c r="C752" s="20" t="s">
        <v>457</v>
      </c>
      <c r="D752" s="20" t="s">
        <v>345</v>
      </c>
      <c r="E752" s="20" t="s">
        <v>110</v>
      </c>
      <c r="F752" s="20" t="s">
        <v>236</v>
      </c>
      <c r="G752" s="20" t="n">
        <v>1</v>
      </c>
      <c r="H752" s="20" t="s">
        <v>242</v>
      </c>
      <c r="I752" s="20" t="s">
        <v>50</v>
      </c>
    </row>
    <row r="753" customFormat="false" ht="15" hidden="false" customHeight="false" outlineLevel="0" collapsed="false">
      <c r="A753" s="20" t="s">
        <v>1434</v>
      </c>
      <c r="B753" s="20" t="s">
        <v>1435</v>
      </c>
      <c r="C753" s="20" t="s">
        <v>174</v>
      </c>
      <c r="D753" s="20" t="s">
        <v>47</v>
      </c>
      <c r="E753" s="20" t="s">
        <v>48</v>
      </c>
      <c r="F753" s="20" t="s">
        <v>49</v>
      </c>
      <c r="G753" s="20" t="n">
        <v>2</v>
      </c>
      <c r="H753" s="20" t="n">
        <v>18</v>
      </c>
      <c r="I753" s="20" t="s">
        <v>50</v>
      </c>
    </row>
    <row r="754" customFormat="false" ht="15" hidden="false" customHeight="false" outlineLevel="0" collapsed="false">
      <c r="A754" s="20" t="s">
        <v>1436</v>
      </c>
      <c r="B754" s="20" t="s">
        <v>965</v>
      </c>
      <c r="C754" s="20" t="s">
        <v>338</v>
      </c>
      <c r="D754" s="20" t="s">
        <v>47</v>
      </c>
      <c r="E754" s="20" t="s">
        <v>48</v>
      </c>
      <c r="F754" s="20" t="s">
        <v>49</v>
      </c>
      <c r="G754" s="20" t="n">
        <v>3</v>
      </c>
      <c r="H754" s="20" t="n">
        <v>18</v>
      </c>
      <c r="I754" s="20" t="s">
        <v>50</v>
      </c>
    </row>
    <row r="755" customFormat="false" ht="15" hidden="false" customHeight="false" outlineLevel="0" collapsed="false">
      <c r="A755" s="20" t="s">
        <v>1437</v>
      </c>
      <c r="B755" s="21" t="n">
        <v>45812</v>
      </c>
      <c r="C755" s="20" t="s">
        <v>1025</v>
      </c>
      <c r="D755" s="20" t="s">
        <v>47</v>
      </c>
      <c r="E755" s="20" t="s">
        <v>297</v>
      </c>
      <c r="F755" s="20" t="s">
        <v>236</v>
      </c>
      <c r="G755" s="20" t="n">
        <v>1</v>
      </c>
      <c r="H755" s="20" t="n">
        <v>30</v>
      </c>
      <c r="I755" s="20" t="s">
        <v>50</v>
      </c>
    </row>
    <row r="756" customFormat="false" ht="15" hidden="false" customHeight="false" outlineLevel="0" collapsed="false">
      <c r="A756" s="20" t="s">
        <v>1438</v>
      </c>
      <c r="B756" s="21" t="n">
        <v>46013</v>
      </c>
      <c r="C756" s="20" t="s">
        <v>239</v>
      </c>
      <c r="D756" s="20" t="s">
        <v>47</v>
      </c>
      <c r="E756" s="20" t="s">
        <v>48</v>
      </c>
      <c r="F756" s="20" t="s">
        <v>116</v>
      </c>
      <c r="G756" s="20" t="n">
        <v>1</v>
      </c>
      <c r="H756" s="20" t="n">
        <v>28</v>
      </c>
      <c r="I756" s="20" t="s">
        <v>50</v>
      </c>
    </row>
    <row r="757" customFormat="false" ht="15" hidden="false" customHeight="false" outlineLevel="0" collapsed="false">
      <c r="A757" s="20" t="s">
        <v>1439</v>
      </c>
      <c r="B757" s="20" t="s">
        <v>1440</v>
      </c>
      <c r="C757" s="20" t="s">
        <v>983</v>
      </c>
      <c r="D757" s="20" t="s">
        <v>47</v>
      </c>
      <c r="E757" s="20" t="s">
        <v>372</v>
      </c>
      <c r="F757" s="20" t="s">
        <v>111</v>
      </c>
      <c r="G757" s="20" t="n">
        <v>3</v>
      </c>
      <c r="H757" s="20" t="s">
        <v>329</v>
      </c>
      <c r="I757" s="20" t="s">
        <v>50</v>
      </c>
    </row>
    <row r="758" customFormat="false" ht="15" hidden="false" customHeight="false" outlineLevel="0" collapsed="false">
      <c r="A758" s="20" t="s">
        <v>1441</v>
      </c>
      <c r="B758" s="21" t="n">
        <v>45916</v>
      </c>
      <c r="C758" s="20" t="s">
        <v>344</v>
      </c>
      <c r="D758" s="20" t="s">
        <v>109</v>
      </c>
      <c r="E758" s="20" t="s">
        <v>54</v>
      </c>
      <c r="F758" s="20" t="s">
        <v>72</v>
      </c>
      <c r="G758" s="20" t="n">
        <v>1</v>
      </c>
      <c r="H758" s="20" t="n">
        <v>24</v>
      </c>
      <c r="I758" s="20" t="s">
        <v>50</v>
      </c>
    </row>
    <row r="759" customFormat="false" ht="15" hidden="false" customHeight="false" outlineLevel="0" collapsed="false">
      <c r="A759" s="20" t="s">
        <v>1442</v>
      </c>
      <c r="B759" s="20" t="s">
        <v>1443</v>
      </c>
      <c r="C759" s="20" t="s">
        <v>1091</v>
      </c>
      <c r="D759" s="20" t="s">
        <v>47</v>
      </c>
      <c r="E759" s="20" t="s">
        <v>110</v>
      </c>
      <c r="F759" s="20" t="s">
        <v>111</v>
      </c>
      <c r="G759" s="20" t="n">
        <v>3</v>
      </c>
      <c r="H759" s="20" t="n">
        <v>16</v>
      </c>
      <c r="I759" s="20" t="s">
        <v>50</v>
      </c>
    </row>
    <row r="760" customFormat="false" ht="15" hidden="false" customHeight="false" outlineLevel="0" collapsed="false">
      <c r="A760" s="20" t="s">
        <v>1444</v>
      </c>
      <c r="B760" s="20" t="s">
        <v>1445</v>
      </c>
      <c r="C760" s="20" t="s">
        <v>925</v>
      </c>
      <c r="D760" s="20" t="s">
        <v>65</v>
      </c>
      <c r="E760" s="20" t="s">
        <v>292</v>
      </c>
      <c r="F760" s="20" t="s">
        <v>72</v>
      </c>
      <c r="G760" s="20" t="n">
        <v>1</v>
      </c>
      <c r="H760" s="20" t="s">
        <v>293</v>
      </c>
      <c r="I760" s="20" t="s">
        <v>50</v>
      </c>
    </row>
    <row r="761" customFormat="false" ht="15" hidden="false" customHeight="false" outlineLevel="0" collapsed="false">
      <c r="A761" s="20" t="s">
        <v>1446</v>
      </c>
      <c r="B761" s="21" t="n">
        <v>45741</v>
      </c>
      <c r="C761" s="20" t="s">
        <v>1025</v>
      </c>
      <c r="D761" s="20" t="s">
        <v>47</v>
      </c>
      <c r="E761" s="20" t="s">
        <v>297</v>
      </c>
      <c r="F761" s="20" t="s">
        <v>236</v>
      </c>
      <c r="G761" s="20" t="n">
        <v>1</v>
      </c>
      <c r="H761" s="20" t="s">
        <v>242</v>
      </c>
      <c r="I761" s="20" t="s">
        <v>50</v>
      </c>
    </row>
    <row r="762" customFormat="false" ht="15" hidden="false" customHeight="false" outlineLevel="0" collapsed="false">
      <c r="A762" s="20" t="s">
        <v>1447</v>
      </c>
      <c r="B762" s="20" t="s">
        <v>1448</v>
      </c>
      <c r="C762" s="20" t="s">
        <v>476</v>
      </c>
      <c r="D762" s="20" t="s">
        <v>345</v>
      </c>
      <c r="E762" s="20" t="s">
        <v>81</v>
      </c>
      <c r="F762" s="20" t="s">
        <v>82</v>
      </c>
      <c r="G762" s="20" t="n">
        <v>1</v>
      </c>
      <c r="H762" s="20" t="n">
        <v>22</v>
      </c>
      <c r="I762" s="20" t="s">
        <v>50</v>
      </c>
    </row>
    <row r="763" customFormat="false" ht="15" hidden="false" customHeight="false" outlineLevel="0" collapsed="false">
      <c r="A763" s="20" t="s">
        <v>1449</v>
      </c>
      <c r="B763" s="20" t="s">
        <v>63</v>
      </c>
      <c r="C763" s="20" t="s">
        <v>281</v>
      </c>
      <c r="D763" s="20" t="s">
        <v>47</v>
      </c>
      <c r="E763" s="20" t="s">
        <v>81</v>
      </c>
      <c r="F763" s="20" t="s">
        <v>82</v>
      </c>
      <c r="G763" s="20" t="n">
        <v>1</v>
      </c>
      <c r="H763" s="20" t="n">
        <v>22</v>
      </c>
      <c r="I763" s="20" t="s">
        <v>50</v>
      </c>
    </row>
    <row r="764" customFormat="false" ht="15" hidden="false" customHeight="false" outlineLevel="0" collapsed="false">
      <c r="A764" s="20" t="s">
        <v>1450</v>
      </c>
      <c r="B764" s="20" t="s">
        <v>1451</v>
      </c>
      <c r="C764" s="20"/>
      <c r="D764" s="20" t="s">
        <v>70</v>
      </c>
      <c r="E764" s="20" t="s">
        <v>92</v>
      </c>
      <c r="F764" s="20" t="s">
        <v>93</v>
      </c>
      <c r="G764" s="20" t="n">
        <v>1</v>
      </c>
      <c r="H764" s="20" t="n">
        <v>15</v>
      </c>
      <c r="I764" s="20" t="s">
        <v>50</v>
      </c>
    </row>
    <row r="765" customFormat="false" ht="15" hidden="false" customHeight="false" outlineLevel="0" collapsed="false">
      <c r="A765" s="20" t="s">
        <v>1452</v>
      </c>
      <c r="B765" s="21" t="n">
        <v>45761</v>
      </c>
      <c r="C765" s="20" t="s">
        <v>397</v>
      </c>
      <c r="D765" s="20" t="s">
        <v>59</v>
      </c>
      <c r="E765" s="20" t="s">
        <v>110</v>
      </c>
      <c r="F765" s="20" t="s">
        <v>121</v>
      </c>
      <c r="G765" s="20" t="n">
        <v>1</v>
      </c>
      <c r="H765" s="20" t="n">
        <v>21</v>
      </c>
      <c r="I765" s="20" t="s">
        <v>50</v>
      </c>
    </row>
    <row r="766" customFormat="false" ht="15" hidden="false" customHeight="false" outlineLevel="0" collapsed="false">
      <c r="A766" s="20" t="s">
        <v>1453</v>
      </c>
      <c r="B766" s="21" t="n">
        <v>46000</v>
      </c>
      <c r="C766" s="20" t="s">
        <v>258</v>
      </c>
      <c r="D766" s="20" t="s">
        <v>70</v>
      </c>
      <c r="E766" s="20" t="s">
        <v>48</v>
      </c>
      <c r="F766" s="20" t="s">
        <v>144</v>
      </c>
      <c r="G766" s="20" t="n">
        <v>1</v>
      </c>
      <c r="H766" s="20" t="s">
        <v>229</v>
      </c>
      <c r="I766" s="20" t="s">
        <v>50</v>
      </c>
    </row>
    <row r="767" customFormat="false" ht="15" hidden="false" customHeight="false" outlineLevel="0" collapsed="false">
      <c r="A767" s="20" t="s">
        <v>1454</v>
      </c>
      <c r="B767" s="20" t="s">
        <v>967</v>
      </c>
      <c r="C767" s="20" t="s">
        <v>447</v>
      </c>
      <c r="D767" s="20" t="s">
        <v>59</v>
      </c>
      <c r="E767" s="20" t="s">
        <v>92</v>
      </c>
      <c r="F767" s="20" t="s">
        <v>105</v>
      </c>
      <c r="G767" s="20" t="n">
        <v>2</v>
      </c>
      <c r="H767" s="20" t="n">
        <v>49</v>
      </c>
      <c r="I767" s="20" t="s">
        <v>50</v>
      </c>
    </row>
    <row r="768" customFormat="false" ht="15" hidden="false" customHeight="false" outlineLevel="0" collapsed="false">
      <c r="A768" s="20" t="s">
        <v>1455</v>
      </c>
      <c r="B768" s="20" t="s">
        <v>504</v>
      </c>
      <c r="C768" s="20" t="s">
        <v>97</v>
      </c>
      <c r="D768" s="20" t="s">
        <v>47</v>
      </c>
      <c r="E768" s="20" t="s">
        <v>81</v>
      </c>
      <c r="F768" s="20" t="s">
        <v>82</v>
      </c>
      <c r="G768" s="20" t="n">
        <v>2</v>
      </c>
      <c r="H768" s="20" t="n">
        <v>22</v>
      </c>
      <c r="I768" s="20" t="s">
        <v>50</v>
      </c>
    </row>
    <row r="769" customFormat="false" ht="15" hidden="false" customHeight="false" outlineLevel="0" collapsed="false">
      <c r="A769" s="20" t="s">
        <v>698</v>
      </c>
      <c r="B769" s="20" t="s">
        <v>699</v>
      </c>
      <c r="C769" s="20" t="s">
        <v>397</v>
      </c>
      <c r="D769" s="20" t="s">
        <v>47</v>
      </c>
      <c r="E769" s="20" t="s">
        <v>81</v>
      </c>
      <c r="F769" s="20" t="s">
        <v>67</v>
      </c>
      <c r="G769" s="20" t="n">
        <v>1</v>
      </c>
      <c r="H769" s="20" t="n">
        <v>45</v>
      </c>
      <c r="I769" s="20" t="s">
        <v>50</v>
      </c>
    </row>
    <row r="770" customFormat="false" ht="15" hidden="false" customHeight="false" outlineLevel="0" collapsed="false">
      <c r="A770" s="20" t="s">
        <v>1456</v>
      </c>
      <c r="B770" s="20" t="s">
        <v>572</v>
      </c>
      <c r="C770" s="20" t="s">
        <v>161</v>
      </c>
      <c r="D770" s="20" t="s">
        <v>47</v>
      </c>
      <c r="E770" s="20" t="s">
        <v>66</v>
      </c>
      <c r="F770" s="20" t="s">
        <v>67</v>
      </c>
      <c r="G770" s="20" t="n">
        <v>4</v>
      </c>
      <c r="H770" s="20" t="n">
        <v>45</v>
      </c>
      <c r="I770" s="20" t="s">
        <v>50</v>
      </c>
    </row>
    <row r="771" customFormat="false" ht="15" hidden="false" customHeight="false" outlineLevel="0" collapsed="false">
      <c r="A771" s="20" t="s">
        <v>1457</v>
      </c>
      <c r="B771" s="20" t="s">
        <v>1458</v>
      </c>
      <c r="C771" s="20" t="s">
        <v>300</v>
      </c>
      <c r="D771" s="20" t="s">
        <v>59</v>
      </c>
      <c r="E771" s="20" t="s">
        <v>54</v>
      </c>
      <c r="F771" s="20" t="s">
        <v>72</v>
      </c>
      <c r="G771" s="20" t="n">
        <v>1</v>
      </c>
      <c r="H771" s="20" t="n">
        <v>24</v>
      </c>
      <c r="I771" s="20" t="s">
        <v>50</v>
      </c>
    </row>
    <row r="772" customFormat="false" ht="15" hidden="false" customHeight="false" outlineLevel="0" collapsed="false">
      <c r="A772" s="20" t="s">
        <v>1459</v>
      </c>
      <c r="B772" s="20" t="s">
        <v>1460</v>
      </c>
      <c r="C772" s="20" t="s">
        <v>801</v>
      </c>
      <c r="D772" s="20" t="s">
        <v>47</v>
      </c>
      <c r="E772" s="20" t="s">
        <v>110</v>
      </c>
      <c r="F772" s="20" t="s">
        <v>111</v>
      </c>
      <c r="G772" s="20" t="n">
        <v>1</v>
      </c>
      <c r="H772" s="20" t="n">
        <v>16</v>
      </c>
      <c r="I772" s="20" t="s">
        <v>50</v>
      </c>
    </row>
    <row r="773" customFormat="false" ht="15" hidden="false" customHeight="false" outlineLevel="0" collapsed="false">
      <c r="A773" s="20" t="s">
        <v>1461</v>
      </c>
      <c r="B773" s="20" t="s">
        <v>1349</v>
      </c>
      <c r="C773" s="20" t="s">
        <v>91</v>
      </c>
      <c r="D773" s="20" t="s">
        <v>47</v>
      </c>
      <c r="E773" s="20" t="s">
        <v>54</v>
      </c>
      <c r="F773" s="20" t="s">
        <v>72</v>
      </c>
      <c r="G773" s="20" t="n">
        <v>4</v>
      </c>
      <c r="H773" s="20" t="n">
        <v>24</v>
      </c>
      <c r="I773" s="20" t="s">
        <v>50</v>
      </c>
    </row>
    <row r="774" customFormat="false" ht="15" hidden="false" customHeight="false" outlineLevel="0" collapsed="false">
      <c r="A774" s="20" t="s">
        <v>1462</v>
      </c>
      <c r="B774" s="20" t="s">
        <v>99</v>
      </c>
      <c r="C774" s="20" t="s">
        <v>431</v>
      </c>
      <c r="D774" s="20" t="s">
        <v>65</v>
      </c>
      <c r="E774" s="20" t="s">
        <v>54</v>
      </c>
      <c r="F774" s="20" t="s">
        <v>72</v>
      </c>
      <c r="G774" s="20" t="n">
        <v>2</v>
      </c>
      <c r="H774" s="20" t="n">
        <v>24</v>
      </c>
      <c r="I774" s="20" t="s">
        <v>50</v>
      </c>
    </row>
    <row r="775" customFormat="false" ht="15" hidden="false" customHeight="false" outlineLevel="0" collapsed="false">
      <c r="A775" s="20" t="s">
        <v>1463</v>
      </c>
      <c r="B775" s="20" t="s">
        <v>1464</v>
      </c>
      <c r="C775" s="20" t="s">
        <v>97</v>
      </c>
      <c r="D775" s="20" t="s">
        <v>65</v>
      </c>
      <c r="E775" s="20" t="s">
        <v>92</v>
      </c>
      <c r="F775" s="20" t="s">
        <v>105</v>
      </c>
      <c r="G775" s="20" t="n">
        <v>2</v>
      </c>
      <c r="H775" s="20" t="n">
        <v>49</v>
      </c>
      <c r="I775" s="20" t="s">
        <v>50</v>
      </c>
    </row>
    <row r="776" customFormat="false" ht="15" hidden="false" customHeight="false" outlineLevel="0" collapsed="false">
      <c r="A776" s="20" t="s">
        <v>1465</v>
      </c>
      <c r="B776" s="20" t="s">
        <v>1466</v>
      </c>
      <c r="C776" s="20" t="s">
        <v>1010</v>
      </c>
      <c r="D776" s="20" t="s">
        <v>109</v>
      </c>
      <c r="E776" s="20" t="s">
        <v>54</v>
      </c>
      <c r="F776" s="20" t="s">
        <v>76</v>
      </c>
      <c r="G776" s="20" t="n">
        <v>1</v>
      </c>
      <c r="H776" s="20" t="n">
        <v>32</v>
      </c>
      <c r="I776" s="20" t="s">
        <v>199</v>
      </c>
    </row>
    <row r="777" customFormat="false" ht="15" hidden="false" customHeight="false" outlineLevel="0" collapsed="false">
      <c r="A777" s="20" t="s">
        <v>1467</v>
      </c>
      <c r="B777" s="20" t="s">
        <v>1468</v>
      </c>
      <c r="C777" s="20"/>
      <c r="D777" s="20" t="s">
        <v>65</v>
      </c>
      <c r="E777" s="20" t="s">
        <v>71</v>
      </c>
      <c r="F777" s="20" t="s">
        <v>55</v>
      </c>
      <c r="G777" s="20" t="n">
        <v>1</v>
      </c>
      <c r="H777" s="20" t="n">
        <v>38</v>
      </c>
      <c r="I777" s="20" t="s">
        <v>50</v>
      </c>
    </row>
    <row r="778" customFormat="false" ht="15" hidden="false" customHeight="false" outlineLevel="0" collapsed="false">
      <c r="A778" s="20" t="s">
        <v>1469</v>
      </c>
      <c r="B778" s="21" t="n">
        <v>45659</v>
      </c>
      <c r="C778" s="20" t="s">
        <v>690</v>
      </c>
      <c r="D778" s="20" t="s">
        <v>47</v>
      </c>
      <c r="E778" s="20" t="s">
        <v>120</v>
      </c>
      <c r="F778" s="20" t="s">
        <v>111</v>
      </c>
      <c r="G778" s="20" t="n">
        <v>4</v>
      </c>
      <c r="H778" s="20" t="s">
        <v>329</v>
      </c>
      <c r="I778" s="20" t="s">
        <v>50</v>
      </c>
    </row>
    <row r="779" customFormat="false" ht="15" hidden="false" customHeight="false" outlineLevel="0" collapsed="false">
      <c r="A779" s="20" t="s">
        <v>1470</v>
      </c>
      <c r="B779" s="20" t="s">
        <v>1471</v>
      </c>
      <c r="C779" s="20" t="s">
        <v>115</v>
      </c>
      <c r="D779" s="20" t="s">
        <v>65</v>
      </c>
      <c r="E779" s="20" t="s">
        <v>54</v>
      </c>
      <c r="F779" s="20" t="s">
        <v>72</v>
      </c>
      <c r="G779" s="20" t="n">
        <v>1</v>
      </c>
      <c r="H779" s="20" t="n">
        <v>24</v>
      </c>
      <c r="I779" s="20" t="s">
        <v>199</v>
      </c>
    </row>
    <row r="780" customFormat="false" ht="15" hidden="false" customHeight="false" outlineLevel="0" collapsed="false">
      <c r="A780" s="20" t="s">
        <v>1472</v>
      </c>
      <c r="B780" s="20" t="s">
        <v>1397</v>
      </c>
      <c r="C780" s="20" t="s">
        <v>323</v>
      </c>
      <c r="D780" s="20" t="s">
        <v>171</v>
      </c>
      <c r="E780" s="20" t="s">
        <v>505</v>
      </c>
      <c r="F780" s="20" t="s">
        <v>144</v>
      </c>
      <c r="G780" s="20" t="n">
        <v>1</v>
      </c>
      <c r="H780" s="20" t="n">
        <v>54</v>
      </c>
      <c r="I780" s="20" t="s">
        <v>50</v>
      </c>
    </row>
    <row r="781" customFormat="false" ht="15" hidden="false" customHeight="false" outlineLevel="0" collapsed="false">
      <c r="A781" s="20" t="s">
        <v>1473</v>
      </c>
      <c r="B781" s="20" t="s">
        <v>1474</v>
      </c>
      <c r="C781" s="20" t="s">
        <v>104</v>
      </c>
      <c r="D781" s="20" t="s">
        <v>47</v>
      </c>
      <c r="E781" s="20" t="s">
        <v>110</v>
      </c>
      <c r="F781" s="20" t="s">
        <v>121</v>
      </c>
      <c r="G781" s="20" t="n">
        <v>1</v>
      </c>
      <c r="H781" s="20" t="n">
        <v>21</v>
      </c>
      <c r="I781" s="20" t="s">
        <v>50</v>
      </c>
    </row>
    <row r="782" customFormat="false" ht="15" hidden="false" customHeight="false" outlineLevel="0" collapsed="false">
      <c r="A782" s="20" t="s">
        <v>395</v>
      </c>
      <c r="B782" s="20" t="s">
        <v>396</v>
      </c>
      <c r="C782" s="20" t="s">
        <v>397</v>
      </c>
      <c r="D782" s="20" t="s">
        <v>70</v>
      </c>
      <c r="E782" s="20" t="s">
        <v>48</v>
      </c>
      <c r="F782" s="20" t="s">
        <v>49</v>
      </c>
      <c r="G782" s="20" t="n">
        <v>2</v>
      </c>
      <c r="H782" s="20" t="n">
        <v>18</v>
      </c>
      <c r="I782" s="20" t="s">
        <v>112</v>
      </c>
    </row>
    <row r="783" customFormat="false" ht="15" hidden="false" customHeight="false" outlineLevel="0" collapsed="false">
      <c r="A783" s="20" t="s">
        <v>1475</v>
      </c>
      <c r="B783" s="21" t="n">
        <v>45670</v>
      </c>
      <c r="C783" s="20" t="s">
        <v>377</v>
      </c>
      <c r="D783" s="20" t="s">
        <v>345</v>
      </c>
      <c r="E783" s="20" t="s">
        <v>54</v>
      </c>
      <c r="F783" s="20" t="s">
        <v>76</v>
      </c>
      <c r="G783" s="20" t="n">
        <v>1</v>
      </c>
      <c r="H783" s="20" t="n">
        <v>32</v>
      </c>
      <c r="I783" s="20" t="s">
        <v>50</v>
      </c>
    </row>
    <row r="784" customFormat="false" ht="15" hidden="false" customHeight="false" outlineLevel="0" collapsed="false">
      <c r="A784" s="20" t="s">
        <v>1476</v>
      </c>
      <c r="B784" s="20" t="s">
        <v>1477</v>
      </c>
      <c r="C784" s="20" t="s">
        <v>174</v>
      </c>
      <c r="D784" s="20" t="s">
        <v>59</v>
      </c>
      <c r="E784" s="20" t="s">
        <v>48</v>
      </c>
      <c r="F784" s="20" t="s">
        <v>49</v>
      </c>
      <c r="G784" s="20" t="n">
        <v>2</v>
      </c>
      <c r="H784" s="20" t="n">
        <v>18</v>
      </c>
      <c r="I784" s="20" t="s">
        <v>112</v>
      </c>
    </row>
    <row r="785" customFormat="false" ht="15" hidden="false" customHeight="false" outlineLevel="0" collapsed="false">
      <c r="A785" s="20" t="s">
        <v>1478</v>
      </c>
      <c r="B785" s="20" t="s">
        <v>627</v>
      </c>
      <c r="C785" s="20" t="s">
        <v>258</v>
      </c>
      <c r="D785" s="20" t="s">
        <v>157</v>
      </c>
      <c r="E785" s="20" t="s">
        <v>292</v>
      </c>
      <c r="F785" s="20" t="s">
        <v>55</v>
      </c>
      <c r="G785" s="20" t="n">
        <v>1</v>
      </c>
      <c r="H785" s="20" t="n">
        <v>38</v>
      </c>
      <c r="I785" s="20" t="s">
        <v>163</v>
      </c>
    </row>
    <row r="786" customFormat="false" ht="15" hidden="false" customHeight="false" outlineLevel="0" collapsed="false">
      <c r="A786" s="20" t="s">
        <v>1479</v>
      </c>
      <c r="B786" s="20" t="s">
        <v>794</v>
      </c>
      <c r="C786" s="20" t="s">
        <v>104</v>
      </c>
      <c r="D786" s="20" t="s">
        <v>47</v>
      </c>
      <c r="E786" s="20" t="s">
        <v>92</v>
      </c>
      <c r="F786" s="20" t="s">
        <v>93</v>
      </c>
      <c r="G786" s="20" t="n">
        <v>1</v>
      </c>
      <c r="H786" s="20" t="s">
        <v>94</v>
      </c>
      <c r="I786" s="20" t="s">
        <v>50</v>
      </c>
    </row>
    <row r="787" customFormat="false" ht="15" hidden="false" customHeight="false" outlineLevel="0" collapsed="false">
      <c r="A787" s="20" t="s">
        <v>1480</v>
      </c>
      <c r="B787" s="20" t="s">
        <v>1323</v>
      </c>
      <c r="C787" s="20" t="s">
        <v>531</v>
      </c>
      <c r="D787" s="20" t="s">
        <v>59</v>
      </c>
      <c r="E787" s="20" t="s">
        <v>81</v>
      </c>
      <c r="F787" s="20" t="s">
        <v>82</v>
      </c>
      <c r="G787" s="20" t="n">
        <v>1</v>
      </c>
      <c r="H787" s="20" t="s">
        <v>154</v>
      </c>
      <c r="I787" s="20" t="s">
        <v>50</v>
      </c>
    </row>
    <row r="788" customFormat="false" ht="15" hidden="false" customHeight="false" outlineLevel="0" collapsed="false">
      <c r="A788" s="20" t="s">
        <v>1481</v>
      </c>
      <c r="B788" s="20" t="s">
        <v>1482</v>
      </c>
      <c r="C788" s="20" t="s">
        <v>362</v>
      </c>
      <c r="D788" s="20" t="s">
        <v>65</v>
      </c>
      <c r="E788" s="20" t="s">
        <v>71</v>
      </c>
      <c r="F788" s="20" t="s">
        <v>76</v>
      </c>
      <c r="G788" s="20" t="n">
        <v>1</v>
      </c>
      <c r="H788" s="20" t="n">
        <v>32</v>
      </c>
      <c r="I788" s="20" t="s">
        <v>112</v>
      </c>
    </row>
    <row r="789" customFormat="false" ht="15" hidden="false" customHeight="false" outlineLevel="0" collapsed="false">
      <c r="A789" s="20" t="s">
        <v>1483</v>
      </c>
      <c r="B789" s="20" t="s">
        <v>1484</v>
      </c>
      <c r="C789" s="20" t="s">
        <v>143</v>
      </c>
      <c r="D789" s="20" t="s">
        <v>47</v>
      </c>
      <c r="E789" s="20" t="s">
        <v>48</v>
      </c>
      <c r="F789" s="20" t="s">
        <v>144</v>
      </c>
      <c r="G789" s="20" t="n">
        <v>1</v>
      </c>
      <c r="H789" s="20" t="s">
        <v>229</v>
      </c>
      <c r="I789" s="20" t="s">
        <v>199</v>
      </c>
    </row>
    <row r="790" customFormat="false" ht="15" hidden="false" customHeight="false" outlineLevel="0" collapsed="false">
      <c r="A790" s="20" t="s">
        <v>1485</v>
      </c>
      <c r="B790" s="20" t="s">
        <v>1486</v>
      </c>
      <c r="C790" s="20" t="s">
        <v>214</v>
      </c>
      <c r="D790" s="20" t="s">
        <v>47</v>
      </c>
      <c r="E790" s="20" t="s">
        <v>110</v>
      </c>
      <c r="F790" s="20" t="s">
        <v>236</v>
      </c>
      <c r="G790" s="20" t="n">
        <v>1</v>
      </c>
      <c r="H790" s="20" t="n">
        <v>30</v>
      </c>
      <c r="I790" s="20" t="s">
        <v>50</v>
      </c>
    </row>
    <row r="791" customFormat="false" ht="15" hidden="false" customHeight="false" outlineLevel="0" collapsed="false">
      <c r="A791" s="20" t="s">
        <v>1487</v>
      </c>
      <c r="B791" s="20" t="s">
        <v>1488</v>
      </c>
      <c r="C791" s="20" t="s">
        <v>291</v>
      </c>
      <c r="D791" s="20" t="s">
        <v>47</v>
      </c>
      <c r="E791" s="20" t="s">
        <v>54</v>
      </c>
      <c r="F791" s="20" t="s">
        <v>72</v>
      </c>
      <c r="G791" s="20" t="n">
        <v>3</v>
      </c>
      <c r="H791" s="20" t="n">
        <v>24</v>
      </c>
      <c r="I791" s="20" t="s">
        <v>112</v>
      </c>
    </row>
    <row r="792" customFormat="false" ht="15" hidden="false" customHeight="false" outlineLevel="0" collapsed="false">
      <c r="A792" s="20" t="s">
        <v>1489</v>
      </c>
      <c r="B792" s="20" t="s">
        <v>1490</v>
      </c>
      <c r="C792" s="20" t="s">
        <v>278</v>
      </c>
      <c r="D792" s="20" t="s">
        <v>47</v>
      </c>
      <c r="E792" s="20" t="s">
        <v>54</v>
      </c>
      <c r="F792" s="20" t="s">
        <v>55</v>
      </c>
      <c r="G792" s="20" t="n">
        <v>1</v>
      </c>
      <c r="H792" s="20" t="n">
        <v>38</v>
      </c>
      <c r="I792" s="20" t="s">
        <v>50</v>
      </c>
    </row>
    <row r="793" customFormat="false" ht="15" hidden="false" customHeight="false" outlineLevel="0" collapsed="false">
      <c r="A793" s="20" t="s">
        <v>1491</v>
      </c>
      <c r="B793" s="20" t="s">
        <v>1090</v>
      </c>
      <c r="C793" s="20" t="s">
        <v>296</v>
      </c>
      <c r="D793" s="20" t="s">
        <v>47</v>
      </c>
      <c r="E793" s="20" t="s">
        <v>81</v>
      </c>
      <c r="F793" s="20" t="s">
        <v>82</v>
      </c>
      <c r="G793" s="20" t="n">
        <v>3</v>
      </c>
      <c r="H793" s="20" t="n">
        <v>22</v>
      </c>
      <c r="I793" s="20" t="s">
        <v>50</v>
      </c>
    </row>
    <row r="794" customFormat="false" ht="15" hidden="false" customHeight="false" outlineLevel="0" collapsed="false">
      <c r="A794" s="20" t="s">
        <v>1492</v>
      </c>
      <c r="B794" s="20" t="s">
        <v>1493</v>
      </c>
      <c r="C794" s="20" t="s">
        <v>296</v>
      </c>
      <c r="D794" s="20" t="s">
        <v>53</v>
      </c>
      <c r="E794" s="20" t="s">
        <v>81</v>
      </c>
      <c r="F794" s="20" t="s">
        <v>61</v>
      </c>
      <c r="G794" s="20" t="n">
        <v>1</v>
      </c>
      <c r="H794" s="20" t="n">
        <v>35</v>
      </c>
      <c r="I794" s="20" t="s">
        <v>163</v>
      </c>
    </row>
    <row r="795" customFormat="false" ht="15" hidden="false" customHeight="false" outlineLevel="0" collapsed="false">
      <c r="A795" s="20" t="s">
        <v>1494</v>
      </c>
      <c r="B795" s="20" t="s">
        <v>1495</v>
      </c>
      <c r="C795" s="20" t="s">
        <v>100</v>
      </c>
      <c r="D795" s="20" t="s">
        <v>1014</v>
      </c>
      <c r="E795" s="20" t="s">
        <v>110</v>
      </c>
      <c r="F795" s="20" t="s">
        <v>111</v>
      </c>
      <c r="G795" s="20" t="n">
        <v>3</v>
      </c>
      <c r="H795" s="20" t="n">
        <v>16</v>
      </c>
      <c r="I795" s="20" t="s">
        <v>50</v>
      </c>
    </row>
    <row r="796" customFormat="false" ht="15" hidden="false" customHeight="false" outlineLevel="0" collapsed="false">
      <c r="A796" s="20" t="s">
        <v>1496</v>
      </c>
      <c r="B796" s="20" t="s">
        <v>90</v>
      </c>
      <c r="C796" s="20" t="s">
        <v>447</v>
      </c>
      <c r="D796" s="20" t="s">
        <v>65</v>
      </c>
      <c r="E796" s="20" t="s">
        <v>81</v>
      </c>
      <c r="F796" s="20" t="s">
        <v>61</v>
      </c>
      <c r="G796" s="20" t="n">
        <v>1</v>
      </c>
      <c r="H796" s="20" t="s">
        <v>88</v>
      </c>
      <c r="I796" s="20" t="s">
        <v>50</v>
      </c>
    </row>
    <row r="797" customFormat="false" ht="15" hidden="false" customHeight="false" outlineLevel="0" collapsed="false">
      <c r="A797" s="20" t="s">
        <v>1497</v>
      </c>
      <c r="B797" s="20" t="s">
        <v>1440</v>
      </c>
      <c r="C797" s="20" t="s">
        <v>318</v>
      </c>
      <c r="D797" s="20" t="s">
        <v>47</v>
      </c>
      <c r="E797" s="20" t="s">
        <v>48</v>
      </c>
      <c r="F797" s="20" t="s">
        <v>144</v>
      </c>
      <c r="G797" s="20" t="n">
        <v>1</v>
      </c>
      <c r="H797" s="20" t="n">
        <v>54</v>
      </c>
      <c r="I797" s="20" t="s">
        <v>50</v>
      </c>
    </row>
    <row r="798" customFormat="false" ht="15" hidden="false" customHeight="false" outlineLevel="0" collapsed="false">
      <c r="A798" s="20" t="s">
        <v>1498</v>
      </c>
      <c r="B798" s="20" t="s">
        <v>1499</v>
      </c>
      <c r="C798" s="20" t="s">
        <v>1136</v>
      </c>
      <c r="D798" s="20" t="s">
        <v>109</v>
      </c>
      <c r="E798" s="20" t="s">
        <v>81</v>
      </c>
      <c r="F798" s="20" t="s">
        <v>61</v>
      </c>
      <c r="G798" s="20" t="n">
        <v>1</v>
      </c>
      <c r="H798" s="20" t="n">
        <v>35</v>
      </c>
      <c r="I798" s="20" t="s">
        <v>50</v>
      </c>
    </row>
    <row r="799" customFormat="false" ht="15" hidden="false" customHeight="false" outlineLevel="0" collapsed="false">
      <c r="A799" s="20" t="s">
        <v>190</v>
      </c>
      <c r="B799" s="20" t="s">
        <v>191</v>
      </c>
      <c r="C799" s="20" t="s">
        <v>192</v>
      </c>
      <c r="D799" s="20" t="s">
        <v>65</v>
      </c>
      <c r="E799" s="20" t="s">
        <v>81</v>
      </c>
      <c r="F799" s="20" t="s">
        <v>67</v>
      </c>
      <c r="G799" s="20" t="n">
        <v>2</v>
      </c>
      <c r="H799" s="20" t="n">
        <v>45</v>
      </c>
      <c r="I799" s="20" t="s">
        <v>50</v>
      </c>
    </row>
    <row r="800" customFormat="false" ht="15" hidden="false" customHeight="false" outlineLevel="0" collapsed="false">
      <c r="A800" s="20" t="s">
        <v>1500</v>
      </c>
      <c r="B800" s="21" t="n">
        <v>45771</v>
      </c>
      <c r="C800" s="20" t="s">
        <v>502</v>
      </c>
      <c r="D800" s="20" t="s">
        <v>65</v>
      </c>
      <c r="E800" s="20" t="s">
        <v>81</v>
      </c>
      <c r="F800" s="20" t="s">
        <v>82</v>
      </c>
      <c r="G800" s="20" t="n">
        <v>1</v>
      </c>
      <c r="H800" s="20" t="n">
        <v>22</v>
      </c>
      <c r="I800" s="20" t="s">
        <v>199</v>
      </c>
    </row>
    <row r="801" customFormat="false" ht="15" hidden="false" customHeight="false" outlineLevel="0" collapsed="false">
      <c r="A801" s="20" t="s">
        <v>1501</v>
      </c>
      <c r="B801" s="20" t="s">
        <v>778</v>
      </c>
      <c r="C801" s="20" t="s">
        <v>357</v>
      </c>
      <c r="D801" s="20" t="s">
        <v>70</v>
      </c>
      <c r="E801" s="20" t="s">
        <v>54</v>
      </c>
      <c r="F801" s="20" t="s">
        <v>76</v>
      </c>
      <c r="G801" s="20" t="n">
        <v>2</v>
      </c>
      <c r="H801" s="20" t="s">
        <v>77</v>
      </c>
      <c r="I801" s="20" t="s">
        <v>50</v>
      </c>
    </row>
    <row r="802" customFormat="false" ht="15" hidden="false" customHeight="false" outlineLevel="0" collapsed="false">
      <c r="A802" s="20" t="s">
        <v>1502</v>
      </c>
      <c r="B802" s="20" t="s">
        <v>1503</v>
      </c>
      <c r="C802" s="20"/>
      <c r="D802" s="20" t="s">
        <v>47</v>
      </c>
      <c r="E802" s="20" t="s">
        <v>101</v>
      </c>
      <c r="F802" s="20" t="s">
        <v>116</v>
      </c>
      <c r="G802" s="20" t="n">
        <v>1</v>
      </c>
      <c r="H802" s="20" t="n">
        <v>28</v>
      </c>
      <c r="I802" s="20" t="s">
        <v>50</v>
      </c>
    </row>
    <row r="803" customFormat="false" ht="15" hidden="false" customHeight="false" outlineLevel="0" collapsed="false">
      <c r="A803" s="20" t="s">
        <v>1504</v>
      </c>
      <c r="B803" s="20" t="s">
        <v>1505</v>
      </c>
      <c r="C803" s="20" t="s">
        <v>578</v>
      </c>
      <c r="D803" s="20" t="s">
        <v>707</v>
      </c>
      <c r="E803" s="20" t="s">
        <v>81</v>
      </c>
      <c r="F803" s="20" t="s">
        <v>67</v>
      </c>
      <c r="G803" s="20" t="n">
        <v>2</v>
      </c>
      <c r="H803" s="20" t="s">
        <v>135</v>
      </c>
      <c r="I803" s="20" t="s">
        <v>50</v>
      </c>
    </row>
    <row r="804" customFormat="false" ht="15" hidden="false" customHeight="false" outlineLevel="0" collapsed="false">
      <c r="A804" s="20" t="s">
        <v>1506</v>
      </c>
      <c r="B804" s="20" t="s">
        <v>1507</v>
      </c>
      <c r="C804" s="20" t="s">
        <v>250</v>
      </c>
      <c r="D804" s="20" t="s">
        <v>222</v>
      </c>
      <c r="E804" s="20" t="s">
        <v>54</v>
      </c>
      <c r="F804" s="20" t="s">
        <v>76</v>
      </c>
      <c r="G804" s="20" t="n">
        <v>1</v>
      </c>
      <c r="H804" s="20" t="n">
        <v>32</v>
      </c>
      <c r="I804" s="20" t="s">
        <v>50</v>
      </c>
    </row>
    <row r="805" customFormat="false" ht="15" hidden="false" customHeight="false" outlineLevel="0" collapsed="false">
      <c r="A805" s="20" t="s">
        <v>1508</v>
      </c>
      <c r="B805" s="21" t="n">
        <v>45994</v>
      </c>
      <c r="C805" s="20" t="s">
        <v>183</v>
      </c>
      <c r="D805" s="20" t="s">
        <v>1014</v>
      </c>
      <c r="E805" s="20" t="s">
        <v>92</v>
      </c>
      <c r="F805" s="20" t="s">
        <v>196</v>
      </c>
      <c r="G805" s="20" t="n">
        <v>1</v>
      </c>
      <c r="H805" s="20" t="s">
        <v>220</v>
      </c>
      <c r="I805" s="20" t="s">
        <v>50</v>
      </c>
    </row>
    <row r="806" customFormat="false" ht="15" hidden="false" customHeight="false" outlineLevel="0" collapsed="false">
      <c r="A806" s="20" t="s">
        <v>1509</v>
      </c>
      <c r="B806" s="20" t="s">
        <v>1510</v>
      </c>
      <c r="C806" s="20" t="s">
        <v>578</v>
      </c>
      <c r="D806" s="20" t="s">
        <v>47</v>
      </c>
      <c r="E806" s="20" t="s">
        <v>48</v>
      </c>
      <c r="F806" s="20" t="s">
        <v>144</v>
      </c>
      <c r="G806" s="20" t="n">
        <v>1</v>
      </c>
      <c r="H806" s="20" t="n">
        <v>54</v>
      </c>
      <c r="I806" s="20" t="s">
        <v>288</v>
      </c>
    </row>
    <row r="807" customFormat="false" ht="15" hidden="false" customHeight="false" outlineLevel="0" collapsed="false">
      <c r="A807" s="20" t="s">
        <v>1511</v>
      </c>
      <c r="B807" s="20" t="s">
        <v>277</v>
      </c>
      <c r="C807" s="20" t="s">
        <v>934</v>
      </c>
      <c r="D807" s="20" t="s">
        <v>752</v>
      </c>
      <c r="E807" s="20" t="s">
        <v>81</v>
      </c>
      <c r="F807" s="20" t="s">
        <v>82</v>
      </c>
      <c r="G807" s="20" t="n">
        <v>1</v>
      </c>
      <c r="H807" s="20" t="n">
        <v>22</v>
      </c>
      <c r="I807" s="20" t="s">
        <v>50</v>
      </c>
    </row>
    <row r="808" customFormat="false" ht="15" hidden="false" customHeight="false" outlineLevel="0" collapsed="false">
      <c r="A808" s="20" t="s">
        <v>1512</v>
      </c>
      <c r="B808" s="21" t="n">
        <v>45860</v>
      </c>
      <c r="C808" s="20" t="s">
        <v>548</v>
      </c>
      <c r="D808" s="20" t="s">
        <v>587</v>
      </c>
      <c r="E808" s="20" t="s">
        <v>92</v>
      </c>
      <c r="F808" s="20" t="s">
        <v>196</v>
      </c>
      <c r="G808" s="20" t="n">
        <v>2</v>
      </c>
      <c r="H808" s="20" t="n">
        <v>89</v>
      </c>
      <c r="I808" s="20" t="s">
        <v>112</v>
      </c>
    </row>
    <row r="809" customFormat="false" ht="15" hidden="false" customHeight="false" outlineLevel="0" collapsed="false">
      <c r="A809" s="20" t="s">
        <v>1513</v>
      </c>
      <c r="B809" s="20" t="s">
        <v>1514</v>
      </c>
      <c r="C809" s="20" t="s">
        <v>80</v>
      </c>
      <c r="D809" s="20" t="s">
        <v>403</v>
      </c>
      <c r="E809" s="20" t="s">
        <v>54</v>
      </c>
      <c r="F809" s="20" t="s">
        <v>72</v>
      </c>
      <c r="G809" s="20" t="n">
        <v>1</v>
      </c>
      <c r="H809" s="20" t="n">
        <v>24</v>
      </c>
      <c r="I809" s="20" t="s">
        <v>50</v>
      </c>
    </row>
    <row r="810" customFormat="false" ht="15" hidden="false" customHeight="false" outlineLevel="0" collapsed="false">
      <c r="A810" s="20" t="s">
        <v>1467</v>
      </c>
      <c r="B810" s="20" t="s">
        <v>1468</v>
      </c>
      <c r="C810" s="20"/>
      <c r="D810" s="20" t="s">
        <v>65</v>
      </c>
      <c r="E810" s="20" t="s">
        <v>71</v>
      </c>
      <c r="F810" s="20" t="s">
        <v>55</v>
      </c>
      <c r="G810" s="20" t="n">
        <v>1</v>
      </c>
      <c r="H810" s="20" t="n">
        <v>38</v>
      </c>
      <c r="I810" s="20" t="s">
        <v>50</v>
      </c>
    </row>
    <row r="811" customFormat="false" ht="15" hidden="false" customHeight="false" outlineLevel="0" collapsed="false">
      <c r="A811" s="20" t="s">
        <v>1515</v>
      </c>
      <c r="B811" s="20" t="s">
        <v>1516</v>
      </c>
      <c r="C811" s="20" t="s">
        <v>291</v>
      </c>
      <c r="D811" s="20" t="s">
        <v>47</v>
      </c>
      <c r="E811" s="20" t="s">
        <v>92</v>
      </c>
      <c r="F811" s="20" t="s">
        <v>196</v>
      </c>
      <c r="G811" s="20" t="n">
        <v>1</v>
      </c>
      <c r="H811" s="20" t="n">
        <v>89</v>
      </c>
      <c r="I811" s="20" t="s">
        <v>199</v>
      </c>
    </row>
    <row r="812" customFormat="false" ht="15" hidden="false" customHeight="false" outlineLevel="0" collapsed="false">
      <c r="A812" s="20" t="s">
        <v>1517</v>
      </c>
      <c r="B812" s="20" t="s">
        <v>1518</v>
      </c>
      <c r="C812" s="20" t="s">
        <v>431</v>
      </c>
      <c r="D812" s="20" t="s">
        <v>171</v>
      </c>
      <c r="E812" s="20" t="s">
        <v>92</v>
      </c>
      <c r="F812" s="20" t="s">
        <v>105</v>
      </c>
      <c r="G812" s="20" t="n">
        <v>2</v>
      </c>
      <c r="H812" s="20" t="n">
        <v>49</v>
      </c>
      <c r="I812" s="20" t="s">
        <v>112</v>
      </c>
    </row>
    <row r="813" customFormat="false" ht="15" hidden="false" customHeight="false" outlineLevel="0" collapsed="false">
      <c r="A813" s="20" t="s">
        <v>1519</v>
      </c>
      <c r="B813" s="20" t="s">
        <v>1520</v>
      </c>
      <c r="C813" s="20" t="s">
        <v>457</v>
      </c>
      <c r="D813" s="20" t="s">
        <v>47</v>
      </c>
      <c r="E813" s="20" t="s">
        <v>54</v>
      </c>
      <c r="F813" s="20" t="s">
        <v>72</v>
      </c>
      <c r="G813" s="20" t="n">
        <v>2</v>
      </c>
      <c r="H813" s="20" t="n">
        <v>24</v>
      </c>
      <c r="I813" s="20" t="s">
        <v>50</v>
      </c>
    </row>
    <row r="814" customFormat="false" ht="15" hidden="false" customHeight="false" outlineLevel="0" collapsed="false">
      <c r="A814" s="20" t="s">
        <v>1521</v>
      </c>
      <c r="B814" s="20" t="s">
        <v>1522</v>
      </c>
      <c r="C814" s="20" t="s">
        <v>161</v>
      </c>
      <c r="D814" s="20" t="s">
        <v>752</v>
      </c>
      <c r="E814" s="20" t="s">
        <v>92</v>
      </c>
      <c r="F814" s="20" t="s">
        <v>105</v>
      </c>
      <c r="G814" s="20" t="n">
        <v>3</v>
      </c>
      <c r="H814" s="20" t="s">
        <v>126</v>
      </c>
      <c r="I814" s="20" t="s">
        <v>50</v>
      </c>
    </row>
    <row r="815" customFormat="false" ht="15" hidden="false" customHeight="false" outlineLevel="0" collapsed="false">
      <c r="A815" s="20" t="s">
        <v>1523</v>
      </c>
      <c r="B815" s="21" t="n">
        <v>45987</v>
      </c>
      <c r="C815" s="20" t="s">
        <v>338</v>
      </c>
      <c r="D815" s="20" t="s">
        <v>65</v>
      </c>
      <c r="E815" s="20" t="s">
        <v>54</v>
      </c>
      <c r="F815" s="20" t="s">
        <v>55</v>
      </c>
      <c r="G815" s="20" t="n">
        <v>1</v>
      </c>
      <c r="H815" s="20" t="n">
        <v>38</v>
      </c>
      <c r="I815" s="20" t="s">
        <v>50</v>
      </c>
    </row>
    <row r="816" customFormat="false" ht="15" hidden="false" customHeight="false" outlineLevel="0" collapsed="false">
      <c r="A816" s="20" t="s">
        <v>1524</v>
      </c>
      <c r="B816" s="20" t="s">
        <v>1525</v>
      </c>
      <c r="C816" s="20" t="s">
        <v>344</v>
      </c>
      <c r="D816" s="20" t="s">
        <v>47</v>
      </c>
      <c r="E816" s="20" t="s">
        <v>54</v>
      </c>
      <c r="F816" s="20" t="s">
        <v>55</v>
      </c>
      <c r="G816" s="20" t="n">
        <v>3</v>
      </c>
      <c r="H816" s="20" t="n">
        <v>38</v>
      </c>
      <c r="I816" s="20" t="s">
        <v>50</v>
      </c>
    </row>
    <row r="817" customFormat="false" ht="15" hidden="false" customHeight="false" outlineLevel="0" collapsed="false">
      <c r="A817" s="20" t="s">
        <v>1526</v>
      </c>
      <c r="B817" s="20" t="s">
        <v>1527</v>
      </c>
      <c r="C817" s="20" t="s">
        <v>241</v>
      </c>
      <c r="D817" s="20" t="s">
        <v>109</v>
      </c>
      <c r="E817" s="20" t="s">
        <v>48</v>
      </c>
      <c r="F817" s="20" t="s">
        <v>144</v>
      </c>
      <c r="G817" s="20" t="n">
        <v>1</v>
      </c>
      <c r="H817" s="20" t="n">
        <v>54</v>
      </c>
      <c r="I817" s="20" t="s">
        <v>50</v>
      </c>
    </row>
    <row r="818" customFormat="false" ht="15" hidden="false" customHeight="false" outlineLevel="0" collapsed="false">
      <c r="A818" s="20" t="s">
        <v>1528</v>
      </c>
      <c r="B818" s="20" t="s">
        <v>1529</v>
      </c>
      <c r="C818" s="20" t="s">
        <v>483</v>
      </c>
      <c r="D818" s="20" t="s">
        <v>47</v>
      </c>
      <c r="E818" s="20" t="s">
        <v>54</v>
      </c>
      <c r="F818" s="20" t="s">
        <v>72</v>
      </c>
      <c r="G818" s="20" t="n">
        <v>1</v>
      </c>
      <c r="H818" s="20" t="n">
        <v>24</v>
      </c>
      <c r="I818" s="20" t="s">
        <v>50</v>
      </c>
    </row>
    <row r="819" customFormat="false" ht="15" hidden="false" customHeight="false" outlineLevel="0" collapsed="false">
      <c r="A819" s="20" t="s">
        <v>1530</v>
      </c>
      <c r="B819" s="21" t="n">
        <v>45893</v>
      </c>
      <c r="C819" s="20" t="s">
        <v>272</v>
      </c>
      <c r="D819" s="20" t="s">
        <v>47</v>
      </c>
      <c r="E819" s="20" t="s">
        <v>54</v>
      </c>
      <c r="F819" s="20" t="s">
        <v>55</v>
      </c>
      <c r="G819" s="20" t="n">
        <v>3</v>
      </c>
      <c r="H819" s="20" t="n">
        <v>38</v>
      </c>
      <c r="I819" s="20" t="s">
        <v>50</v>
      </c>
    </row>
    <row r="820" customFormat="false" ht="15" hidden="false" customHeight="false" outlineLevel="0" collapsed="false">
      <c r="A820" s="20" t="s">
        <v>1531</v>
      </c>
      <c r="B820" s="20" t="s">
        <v>1532</v>
      </c>
      <c r="C820" s="20" t="s">
        <v>367</v>
      </c>
      <c r="D820" s="20" t="s">
        <v>65</v>
      </c>
      <c r="E820" s="20" t="s">
        <v>81</v>
      </c>
      <c r="F820" s="20" t="s">
        <v>82</v>
      </c>
      <c r="G820" s="20" t="n">
        <v>1</v>
      </c>
      <c r="H820" s="20" t="s">
        <v>154</v>
      </c>
      <c r="I820" s="20" t="s">
        <v>50</v>
      </c>
    </row>
    <row r="821" customFormat="false" ht="15" hidden="false" customHeight="false" outlineLevel="0" collapsed="false">
      <c r="A821" s="20" t="s">
        <v>1533</v>
      </c>
      <c r="B821" s="21" t="n">
        <v>45756</v>
      </c>
      <c r="C821" s="20" t="s">
        <v>431</v>
      </c>
      <c r="D821" s="20" t="s">
        <v>47</v>
      </c>
      <c r="E821" s="20" t="s">
        <v>92</v>
      </c>
      <c r="F821" s="20" t="s">
        <v>105</v>
      </c>
      <c r="G821" s="20" t="n">
        <v>1</v>
      </c>
      <c r="H821" s="20" t="n">
        <v>49</v>
      </c>
      <c r="I821" s="20" t="s">
        <v>50</v>
      </c>
    </row>
    <row r="822" customFormat="false" ht="15" hidden="false" customHeight="false" outlineLevel="0" collapsed="false">
      <c r="A822" s="20" t="s">
        <v>1534</v>
      </c>
      <c r="B822" s="20" t="s">
        <v>244</v>
      </c>
      <c r="C822" s="20" t="s">
        <v>522</v>
      </c>
      <c r="D822" s="20" t="s">
        <v>171</v>
      </c>
      <c r="E822" s="20" t="s">
        <v>101</v>
      </c>
      <c r="F822" s="20" t="s">
        <v>144</v>
      </c>
      <c r="G822" s="20" t="n">
        <v>2</v>
      </c>
      <c r="H822" s="20" t="s">
        <v>229</v>
      </c>
      <c r="I822" s="20" t="s">
        <v>50</v>
      </c>
    </row>
    <row r="823" customFormat="false" ht="15" hidden="false" customHeight="false" outlineLevel="0" collapsed="false">
      <c r="A823" s="20" t="s">
        <v>1523</v>
      </c>
      <c r="B823" s="21" t="n">
        <v>45987</v>
      </c>
      <c r="C823" s="20" t="s">
        <v>338</v>
      </c>
      <c r="D823" s="20" t="s">
        <v>65</v>
      </c>
      <c r="E823" s="20" t="s">
        <v>54</v>
      </c>
      <c r="F823" s="20" t="s">
        <v>55</v>
      </c>
      <c r="G823" s="20" t="n">
        <v>1</v>
      </c>
      <c r="H823" s="20" t="n">
        <v>38</v>
      </c>
      <c r="I823" s="20" t="s">
        <v>50</v>
      </c>
    </row>
    <row r="824" customFormat="false" ht="15" hidden="false" customHeight="false" outlineLevel="0" collapsed="false">
      <c r="A824" s="20" t="s">
        <v>1535</v>
      </c>
      <c r="B824" s="20" t="s">
        <v>1536</v>
      </c>
      <c r="C824" s="20" t="s">
        <v>344</v>
      </c>
      <c r="D824" s="20" t="s">
        <v>47</v>
      </c>
      <c r="E824" s="20" t="s">
        <v>167</v>
      </c>
      <c r="F824" s="20" t="s">
        <v>72</v>
      </c>
      <c r="G824" s="20" t="n">
        <v>1</v>
      </c>
      <c r="H824" s="20" t="s">
        <v>293</v>
      </c>
      <c r="I824" s="20" t="s">
        <v>163</v>
      </c>
    </row>
    <row r="825" customFormat="false" ht="15" hidden="false" customHeight="false" outlineLevel="0" collapsed="false">
      <c r="A825" s="20" t="s">
        <v>1537</v>
      </c>
      <c r="B825" s="20" t="s">
        <v>1538</v>
      </c>
      <c r="C825" s="20" t="s">
        <v>519</v>
      </c>
      <c r="D825" s="20" t="s">
        <v>47</v>
      </c>
      <c r="E825" s="20" t="s">
        <v>54</v>
      </c>
      <c r="F825" s="20" t="s">
        <v>55</v>
      </c>
      <c r="G825" s="20" t="n">
        <v>2</v>
      </c>
      <c r="H825" s="20" t="n">
        <v>38</v>
      </c>
      <c r="I825" s="20" t="s">
        <v>199</v>
      </c>
    </row>
    <row r="826" customFormat="false" ht="15" hidden="false" customHeight="false" outlineLevel="0" collapsed="false">
      <c r="A826" s="20" t="s">
        <v>1539</v>
      </c>
      <c r="B826" s="20" t="s">
        <v>1540</v>
      </c>
      <c r="C826" s="20" t="s">
        <v>348</v>
      </c>
      <c r="D826" s="20" t="s">
        <v>70</v>
      </c>
      <c r="E826" s="20" t="s">
        <v>92</v>
      </c>
      <c r="F826" s="20" t="s">
        <v>105</v>
      </c>
      <c r="G826" s="20" t="n">
        <v>3</v>
      </c>
      <c r="H826" s="20" t="n">
        <v>49</v>
      </c>
      <c r="I826" s="20" t="s">
        <v>50</v>
      </c>
    </row>
    <row r="827" customFormat="false" ht="15" hidden="false" customHeight="false" outlineLevel="0" collapsed="false">
      <c r="A827" s="20" t="s">
        <v>1541</v>
      </c>
      <c r="B827" s="20" t="s">
        <v>1542</v>
      </c>
      <c r="C827" s="20" t="s">
        <v>634</v>
      </c>
      <c r="D827" s="20" t="s">
        <v>59</v>
      </c>
      <c r="E827" s="20" t="s">
        <v>92</v>
      </c>
      <c r="F827" s="20" t="s">
        <v>196</v>
      </c>
      <c r="G827" s="20" t="n">
        <v>1</v>
      </c>
      <c r="H827" s="20" t="n">
        <v>89</v>
      </c>
      <c r="I827" s="20" t="s">
        <v>50</v>
      </c>
    </row>
    <row r="828" customFormat="false" ht="15" hidden="false" customHeight="false" outlineLevel="0" collapsed="false">
      <c r="A828" s="20" t="s">
        <v>1543</v>
      </c>
      <c r="B828" s="20" t="s">
        <v>1544</v>
      </c>
      <c r="C828" s="20" t="s">
        <v>1221</v>
      </c>
      <c r="D828" s="20" t="s">
        <v>587</v>
      </c>
      <c r="E828" s="20" t="s">
        <v>54</v>
      </c>
      <c r="F828" s="20" t="s">
        <v>55</v>
      </c>
      <c r="G828" s="20" t="n">
        <v>1</v>
      </c>
      <c r="H828" s="20" t="n">
        <v>38</v>
      </c>
      <c r="I828" s="20" t="s">
        <v>50</v>
      </c>
    </row>
    <row r="829" customFormat="false" ht="15" hidden="false" customHeight="false" outlineLevel="0" collapsed="false">
      <c r="A829" s="20" t="s">
        <v>1545</v>
      </c>
      <c r="B829" s="21" t="n">
        <v>45787</v>
      </c>
      <c r="C829" s="20" t="s">
        <v>531</v>
      </c>
      <c r="D829" s="20" t="s">
        <v>282</v>
      </c>
      <c r="E829" s="20" t="s">
        <v>81</v>
      </c>
      <c r="F829" s="20" t="s">
        <v>61</v>
      </c>
      <c r="G829" s="20" t="n">
        <v>3</v>
      </c>
      <c r="H829" s="20" t="s">
        <v>88</v>
      </c>
      <c r="I829" s="20" t="s">
        <v>50</v>
      </c>
    </row>
    <row r="830" customFormat="false" ht="15" hidden="false" customHeight="false" outlineLevel="0" collapsed="false">
      <c r="A830" s="20" t="s">
        <v>1546</v>
      </c>
      <c r="B830" s="20" t="s">
        <v>1547</v>
      </c>
      <c r="C830" s="20" t="s">
        <v>147</v>
      </c>
      <c r="D830" s="20" t="s">
        <v>109</v>
      </c>
      <c r="E830" s="20" t="s">
        <v>120</v>
      </c>
      <c r="F830" s="20" t="s">
        <v>236</v>
      </c>
      <c r="G830" s="20" t="n">
        <v>2</v>
      </c>
      <c r="H830" s="20" t="n">
        <v>30</v>
      </c>
      <c r="I830" s="20" t="s">
        <v>50</v>
      </c>
    </row>
    <row r="831" customFormat="false" ht="15" hidden="false" customHeight="false" outlineLevel="0" collapsed="false">
      <c r="A831" s="20" t="s">
        <v>1548</v>
      </c>
      <c r="B831" s="21" t="n">
        <v>45773</v>
      </c>
      <c r="C831" s="20" t="s">
        <v>150</v>
      </c>
      <c r="D831" s="20" t="s">
        <v>171</v>
      </c>
      <c r="E831" s="20" t="s">
        <v>54</v>
      </c>
      <c r="F831" s="20" t="s">
        <v>76</v>
      </c>
      <c r="G831" s="20" t="n">
        <v>1</v>
      </c>
      <c r="H831" s="20" t="n">
        <v>32</v>
      </c>
      <c r="I831" s="20" t="s">
        <v>50</v>
      </c>
    </row>
    <row r="832" customFormat="false" ht="15" hidden="false" customHeight="false" outlineLevel="0" collapsed="false">
      <c r="A832" s="20" t="s">
        <v>1549</v>
      </c>
      <c r="B832" s="20" t="s">
        <v>364</v>
      </c>
      <c r="C832" s="20" t="s">
        <v>156</v>
      </c>
      <c r="D832" s="20" t="s">
        <v>47</v>
      </c>
      <c r="E832" s="20" t="s">
        <v>54</v>
      </c>
      <c r="F832" s="20" t="s">
        <v>72</v>
      </c>
      <c r="G832" s="20" t="n">
        <v>1</v>
      </c>
      <c r="H832" s="20" t="n">
        <v>24</v>
      </c>
      <c r="I832" s="20" t="s">
        <v>50</v>
      </c>
    </row>
    <row r="833" customFormat="false" ht="15" hidden="false" customHeight="false" outlineLevel="0" collapsed="false">
      <c r="A833" s="20" t="s">
        <v>1550</v>
      </c>
      <c r="B833" s="20" t="s">
        <v>1551</v>
      </c>
      <c r="C833" s="20" t="s">
        <v>1028</v>
      </c>
      <c r="D833" s="20" t="s">
        <v>59</v>
      </c>
      <c r="E833" s="20" t="s">
        <v>54</v>
      </c>
      <c r="F833" s="20" t="s">
        <v>72</v>
      </c>
      <c r="G833" s="20" t="n">
        <v>3</v>
      </c>
      <c r="H833" s="20" t="n">
        <v>24</v>
      </c>
      <c r="I833" s="20" t="s">
        <v>1552</v>
      </c>
    </row>
    <row r="834" customFormat="false" ht="15" hidden="false" customHeight="false" outlineLevel="0" collapsed="false">
      <c r="A834" s="20" t="s">
        <v>1553</v>
      </c>
      <c r="B834" s="21" t="n">
        <v>45800</v>
      </c>
      <c r="C834" s="20"/>
      <c r="D834" s="20" t="s">
        <v>59</v>
      </c>
      <c r="E834" s="20" t="s">
        <v>54</v>
      </c>
      <c r="F834" s="20" t="s">
        <v>72</v>
      </c>
      <c r="G834" s="20" t="n">
        <v>2</v>
      </c>
      <c r="H834" s="20" t="n">
        <v>24</v>
      </c>
      <c r="I834" s="20" t="s">
        <v>136</v>
      </c>
    </row>
    <row r="835" customFormat="false" ht="15" hidden="false" customHeight="false" outlineLevel="0" collapsed="false">
      <c r="A835" s="20" t="s">
        <v>1554</v>
      </c>
      <c r="B835" s="20" t="s">
        <v>1555</v>
      </c>
      <c r="C835" s="20" t="s">
        <v>97</v>
      </c>
      <c r="D835" s="20" t="s">
        <v>47</v>
      </c>
      <c r="E835" s="20" t="s">
        <v>48</v>
      </c>
      <c r="F835" s="20" t="s">
        <v>49</v>
      </c>
      <c r="G835" s="20" t="n">
        <v>1</v>
      </c>
      <c r="H835" s="20" t="n">
        <v>18</v>
      </c>
      <c r="I835" s="20" t="s">
        <v>50</v>
      </c>
    </row>
    <row r="836" customFormat="false" ht="15" hidden="false" customHeight="false" outlineLevel="0" collapsed="false">
      <c r="A836" s="20" t="s">
        <v>1556</v>
      </c>
      <c r="B836" s="21" t="n">
        <v>45902</v>
      </c>
      <c r="C836" s="20" t="s">
        <v>375</v>
      </c>
      <c r="D836" s="20" t="s">
        <v>109</v>
      </c>
      <c r="E836" s="20" t="s">
        <v>92</v>
      </c>
      <c r="F836" s="20" t="s">
        <v>105</v>
      </c>
      <c r="G836" s="20" t="n">
        <v>1</v>
      </c>
      <c r="H836" s="20" t="n">
        <v>49</v>
      </c>
      <c r="I836" s="20" t="s">
        <v>50</v>
      </c>
    </row>
    <row r="837" customFormat="false" ht="15" hidden="false" customHeight="false" outlineLevel="0" collapsed="false">
      <c r="A837" s="20" t="s">
        <v>837</v>
      </c>
      <c r="B837" s="20" t="s">
        <v>838</v>
      </c>
      <c r="C837" s="20" t="s">
        <v>397</v>
      </c>
      <c r="D837" s="20" t="s">
        <v>587</v>
      </c>
      <c r="E837" s="20" t="s">
        <v>48</v>
      </c>
      <c r="F837" s="20" t="s">
        <v>144</v>
      </c>
      <c r="G837" s="20" t="n">
        <v>4</v>
      </c>
      <c r="H837" s="20" t="s">
        <v>229</v>
      </c>
      <c r="I837" s="20" t="s">
        <v>50</v>
      </c>
    </row>
    <row r="838" customFormat="false" ht="15" hidden="false" customHeight="false" outlineLevel="0" collapsed="false">
      <c r="A838" s="20" t="s">
        <v>1557</v>
      </c>
      <c r="B838" s="21" t="n">
        <v>45774</v>
      </c>
      <c r="C838" s="20" t="s">
        <v>375</v>
      </c>
      <c r="D838" s="20" t="s">
        <v>47</v>
      </c>
      <c r="E838" s="20" t="s">
        <v>372</v>
      </c>
      <c r="F838" s="20" t="s">
        <v>236</v>
      </c>
      <c r="G838" s="20" t="n">
        <v>2</v>
      </c>
      <c r="H838" s="20" t="s">
        <v>242</v>
      </c>
      <c r="I838" s="20" t="s">
        <v>50</v>
      </c>
    </row>
    <row r="839" customFormat="false" ht="15" hidden="false" customHeight="false" outlineLevel="0" collapsed="false">
      <c r="A839" s="20" t="s">
        <v>1558</v>
      </c>
      <c r="B839" s="21" t="n">
        <v>45775</v>
      </c>
      <c r="C839" s="20" t="s">
        <v>522</v>
      </c>
      <c r="D839" s="20" t="s">
        <v>47</v>
      </c>
      <c r="E839" s="20" t="s">
        <v>54</v>
      </c>
      <c r="F839" s="20" t="s">
        <v>76</v>
      </c>
      <c r="G839" s="20" t="n">
        <v>1</v>
      </c>
      <c r="H839" s="20" t="n">
        <v>32</v>
      </c>
      <c r="I839" s="20" t="s">
        <v>50</v>
      </c>
    </row>
    <row r="840" customFormat="false" ht="15" hidden="false" customHeight="false" outlineLevel="0" collapsed="false">
      <c r="A840" s="20" t="s">
        <v>1559</v>
      </c>
      <c r="B840" s="20" t="s">
        <v>1560</v>
      </c>
      <c r="C840" s="20" t="s">
        <v>161</v>
      </c>
      <c r="D840" s="20" t="s">
        <v>403</v>
      </c>
      <c r="E840" s="20" t="s">
        <v>60</v>
      </c>
      <c r="F840" s="20" t="s">
        <v>82</v>
      </c>
      <c r="G840" s="20" t="n">
        <v>1</v>
      </c>
      <c r="H840" s="20" t="n">
        <v>22</v>
      </c>
      <c r="I840" s="20" t="s">
        <v>50</v>
      </c>
    </row>
    <row r="841" customFormat="false" ht="15" hidden="false" customHeight="false" outlineLevel="0" collapsed="false">
      <c r="A841" s="20" t="s">
        <v>1561</v>
      </c>
      <c r="B841" s="20" t="s">
        <v>1562</v>
      </c>
      <c r="C841" s="20" t="s">
        <v>258</v>
      </c>
      <c r="D841" s="20" t="s">
        <v>282</v>
      </c>
      <c r="E841" s="20" t="s">
        <v>372</v>
      </c>
      <c r="F841" s="20" t="s">
        <v>121</v>
      </c>
      <c r="G841" s="20" t="n">
        <v>4</v>
      </c>
      <c r="H841" s="20" t="n">
        <v>21</v>
      </c>
      <c r="I841" s="20" t="s">
        <v>199</v>
      </c>
    </row>
    <row r="842" customFormat="false" ht="15" hidden="false" customHeight="false" outlineLevel="0" collapsed="false">
      <c r="A842" s="20" t="s">
        <v>1563</v>
      </c>
      <c r="B842" s="20" t="s">
        <v>537</v>
      </c>
      <c r="C842" s="20" t="s">
        <v>519</v>
      </c>
      <c r="D842" s="20" t="s">
        <v>752</v>
      </c>
      <c r="E842" s="20" t="s">
        <v>81</v>
      </c>
      <c r="F842" s="20" t="s">
        <v>82</v>
      </c>
      <c r="G842" s="20" t="n">
        <v>3</v>
      </c>
      <c r="H842" s="20" t="n">
        <v>22</v>
      </c>
      <c r="I842" s="20" t="s">
        <v>136</v>
      </c>
    </row>
    <row r="843" customFormat="false" ht="15" hidden="false" customHeight="false" outlineLevel="0" collapsed="false">
      <c r="A843" s="20" t="s">
        <v>1564</v>
      </c>
      <c r="B843" s="20" t="s">
        <v>1565</v>
      </c>
      <c r="C843" s="20" t="s">
        <v>519</v>
      </c>
      <c r="D843" s="20" t="s">
        <v>345</v>
      </c>
      <c r="E843" s="20" t="s">
        <v>110</v>
      </c>
      <c r="F843" s="20" t="s">
        <v>111</v>
      </c>
      <c r="G843" s="20" t="n">
        <v>4</v>
      </c>
      <c r="H843" s="20" t="n">
        <v>16</v>
      </c>
      <c r="I843" s="20" t="s">
        <v>50</v>
      </c>
    </row>
    <row r="844" customFormat="false" ht="15" hidden="false" customHeight="false" outlineLevel="0" collapsed="false">
      <c r="A844" s="20" t="s">
        <v>1566</v>
      </c>
      <c r="B844" s="20" t="s">
        <v>1567</v>
      </c>
      <c r="C844" s="20" t="s">
        <v>600</v>
      </c>
      <c r="D844" s="20" t="s">
        <v>47</v>
      </c>
      <c r="E844" s="20" t="s">
        <v>48</v>
      </c>
      <c r="F844" s="20" t="s">
        <v>49</v>
      </c>
      <c r="G844" s="20" t="n">
        <v>1</v>
      </c>
      <c r="H844" s="20" t="n">
        <v>18</v>
      </c>
      <c r="I844" s="20" t="s">
        <v>50</v>
      </c>
    </row>
    <row r="845" customFormat="false" ht="15" hidden="false" customHeight="false" outlineLevel="0" collapsed="false">
      <c r="A845" s="20" t="s">
        <v>1568</v>
      </c>
      <c r="B845" s="21" t="n">
        <v>45984</v>
      </c>
      <c r="C845" s="20" t="s">
        <v>318</v>
      </c>
      <c r="D845" s="20" t="s">
        <v>47</v>
      </c>
      <c r="E845" s="20" t="s">
        <v>140</v>
      </c>
      <c r="F845" s="20" t="s">
        <v>93</v>
      </c>
      <c r="G845" s="20" t="n">
        <v>1</v>
      </c>
      <c r="H845" s="20" t="n">
        <v>15</v>
      </c>
      <c r="I845" s="20" t="s">
        <v>50</v>
      </c>
    </row>
    <row r="846" customFormat="false" ht="15" hidden="false" customHeight="false" outlineLevel="0" collapsed="false">
      <c r="A846" s="20" t="s">
        <v>1277</v>
      </c>
      <c r="B846" s="20" t="s">
        <v>1278</v>
      </c>
      <c r="C846" s="20" t="s">
        <v>422</v>
      </c>
      <c r="D846" s="20" t="s">
        <v>47</v>
      </c>
      <c r="E846" s="20" t="s">
        <v>101</v>
      </c>
      <c r="F846" s="20" t="s">
        <v>116</v>
      </c>
      <c r="G846" s="20" t="n">
        <v>3</v>
      </c>
      <c r="H846" s="20" t="s">
        <v>162</v>
      </c>
      <c r="I846" s="20" t="s">
        <v>50</v>
      </c>
    </row>
    <row r="847" customFormat="false" ht="15" hidden="false" customHeight="false" outlineLevel="0" collapsed="false">
      <c r="A847" s="20" t="s">
        <v>1569</v>
      </c>
      <c r="B847" s="20" t="s">
        <v>663</v>
      </c>
      <c r="C847" s="20" t="s">
        <v>531</v>
      </c>
      <c r="D847" s="20" t="s">
        <v>70</v>
      </c>
      <c r="E847" s="20" t="s">
        <v>48</v>
      </c>
      <c r="F847" s="20" t="s">
        <v>144</v>
      </c>
      <c r="G847" s="20" t="n">
        <v>3</v>
      </c>
      <c r="H847" s="20" t="n">
        <v>54</v>
      </c>
      <c r="I847" s="20" t="s">
        <v>136</v>
      </c>
    </row>
    <row r="848" customFormat="false" ht="15" hidden="false" customHeight="false" outlineLevel="0" collapsed="false">
      <c r="A848" s="20" t="s">
        <v>1570</v>
      </c>
      <c r="B848" s="20" t="s">
        <v>1571</v>
      </c>
      <c r="C848" s="20" t="s">
        <v>210</v>
      </c>
      <c r="D848" s="20" t="s">
        <v>282</v>
      </c>
      <c r="E848" s="20" t="s">
        <v>48</v>
      </c>
      <c r="F848" s="20" t="s">
        <v>49</v>
      </c>
      <c r="G848" s="20" t="n">
        <v>1</v>
      </c>
      <c r="H848" s="20" t="n">
        <v>18</v>
      </c>
      <c r="I848" s="20" t="s">
        <v>112</v>
      </c>
    </row>
    <row r="849" customFormat="false" ht="15" hidden="false" customHeight="false" outlineLevel="0" collapsed="false">
      <c r="A849" s="20" t="s">
        <v>1572</v>
      </c>
      <c r="B849" s="20" t="s">
        <v>1573</v>
      </c>
      <c r="C849" s="20" t="s">
        <v>801</v>
      </c>
      <c r="D849" s="20" t="s">
        <v>65</v>
      </c>
      <c r="E849" s="20" t="s">
        <v>54</v>
      </c>
      <c r="F849" s="20" t="s">
        <v>55</v>
      </c>
      <c r="G849" s="20" t="n">
        <v>1</v>
      </c>
      <c r="H849" s="20" t="s">
        <v>259</v>
      </c>
      <c r="I849" s="20" t="s">
        <v>50</v>
      </c>
    </row>
    <row r="850" customFormat="false" ht="15" hidden="false" customHeight="false" outlineLevel="0" collapsed="false">
      <c r="A850" s="20" t="s">
        <v>1574</v>
      </c>
      <c r="B850" s="20" t="s">
        <v>1575</v>
      </c>
      <c r="C850" s="20"/>
      <c r="D850" s="20" t="s">
        <v>65</v>
      </c>
      <c r="E850" s="20" t="s">
        <v>234</v>
      </c>
      <c r="F850" s="20" t="s">
        <v>61</v>
      </c>
      <c r="G850" s="20" t="n">
        <v>2</v>
      </c>
      <c r="H850" s="20" t="n">
        <v>35</v>
      </c>
      <c r="I850" s="20" t="s">
        <v>50</v>
      </c>
    </row>
    <row r="851" customFormat="false" ht="15" hidden="false" customHeight="false" outlineLevel="0" collapsed="false">
      <c r="A851" s="20" t="s">
        <v>1576</v>
      </c>
      <c r="B851" s="20" t="s">
        <v>1577</v>
      </c>
      <c r="C851" s="20" t="s">
        <v>224</v>
      </c>
      <c r="D851" s="20" t="s">
        <v>587</v>
      </c>
      <c r="E851" s="20" t="s">
        <v>92</v>
      </c>
      <c r="F851" s="20" t="s">
        <v>105</v>
      </c>
      <c r="G851" s="20" t="n">
        <v>1</v>
      </c>
      <c r="H851" s="20" t="n">
        <v>49</v>
      </c>
      <c r="I851" s="20" t="s">
        <v>199</v>
      </c>
    </row>
    <row r="852" customFormat="false" ht="15" hidden="false" customHeight="false" outlineLevel="0" collapsed="false">
      <c r="A852" s="20" t="s">
        <v>1307</v>
      </c>
      <c r="B852" s="20" t="s">
        <v>1308</v>
      </c>
      <c r="C852" s="20" t="s">
        <v>183</v>
      </c>
      <c r="D852" s="20" t="s">
        <v>70</v>
      </c>
      <c r="E852" s="20" t="s">
        <v>92</v>
      </c>
      <c r="F852" s="20" t="s">
        <v>105</v>
      </c>
      <c r="G852" s="20" t="n">
        <v>4</v>
      </c>
      <c r="H852" s="20" t="n">
        <v>49</v>
      </c>
      <c r="I852" s="20" t="s">
        <v>50</v>
      </c>
    </row>
    <row r="853" customFormat="false" ht="15" hidden="false" customHeight="false" outlineLevel="0" collapsed="false">
      <c r="A853" s="20" t="s">
        <v>1578</v>
      </c>
      <c r="B853" s="21" t="n">
        <v>45662</v>
      </c>
      <c r="C853" s="20" t="s">
        <v>531</v>
      </c>
      <c r="D853" s="20" t="s">
        <v>59</v>
      </c>
      <c r="E853" s="20" t="s">
        <v>48</v>
      </c>
      <c r="F853" s="20" t="s">
        <v>116</v>
      </c>
      <c r="G853" s="20" t="n">
        <v>1</v>
      </c>
      <c r="H853" s="20" t="n">
        <v>28</v>
      </c>
      <c r="I853" s="20" t="s">
        <v>50</v>
      </c>
    </row>
    <row r="854" customFormat="false" ht="15" hidden="false" customHeight="false" outlineLevel="0" collapsed="false">
      <c r="A854" s="20" t="s">
        <v>1579</v>
      </c>
      <c r="B854" s="20" t="s">
        <v>652</v>
      </c>
      <c r="C854" s="20" t="s">
        <v>392</v>
      </c>
      <c r="D854" s="20" t="s">
        <v>157</v>
      </c>
      <c r="E854" s="20" t="s">
        <v>110</v>
      </c>
      <c r="F854" s="20" t="s">
        <v>236</v>
      </c>
      <c r="G854" s="20" t="n">
        <v>4</v>
      </c>
      <c r="H854" s="20" t="s">
        <v>242</v>
      </c>
      <c r="I854" s="20" t="s">
        <v>50</v>
      </c>
    </row>
    <row r="855" customFormat="false" ht="15" hidden="false" customHeight="false" outlineLevel="0" collapsed="false">
      <c r="A855" s="20" t="s">
        <v>1580</v>
      </c>
      <c r="B855" s="21" t="n">
        <v>45788</v>
      </c>
      <c r="C855" s="20" t="s">
        <v>104</v>
      </c>
      <c r="D855" s="20" t="s">
        <v>403</v>
      </c>
      <c r="E855" s="20" t="s">
        <v>110</v>
      </c>
      <c r="F855" s="20" t="s">
        <v>236</v>
      </c>
      <c r="G855" s="20" t="n">
        <v>2</v>
      </c>
      <c r="H855" s="20" t="s">
        <v>242</v>
      </c>
      <c r="I855" s="20" t="s">
        <v>50</v>
      </c>
    </row>
    <row r="856" customFormat="false" ht="15" hidden="false" customHeight="false" outlineLevel="0" collapsed="false">
      <c r="A856" s="20" t="s">
        <v>1384</v>
      </c>
      <c r="B856" s="20" t="s">
        <v>169</v>
      </c>
      <c r="C856" s="20" t="s">
        <v>548</v>
      </c>
      <c r="D856" s="20" t="s">
        <v>47</v>
      </c>
      <c r="E856" s="20" t="s">
        <v>48</v>
      </c>
      <c r="F856" s="20" t="s">
        <v>49</v>
      </c>
      <c r="G856" s="20" t="n">
        <v>2</v>
      </c>
      <c r="H856" s="20" t="n">
        <v>18</v>
      </c>
      <c r="I856" s="20" t="s">
        <v>50</v>
      </c>
    </row>
    <row r="857" customFormat="false" ht="15" hidden="false" customHeight="false" outlineLevel="0" collapsed="false">
      <c r="A857" s="20" t="s">
        <v>1581</v>
      </c>
      <c r="B857" s="20" t="s">
        <v>1582</v>
      </c>
      <c r="C857" s="20" t="s">
        <v>296</v>
      </c>
      <c r="D857" s="20" t="s">
        <v>47</v>
      </c>
      <c r="E857" s="20" t="s">
        <v>81</v>
      </c>
      <c r="F857" s="20" t="s">
        <v>82</v>
      </c>
      <c r="G857" s="20" t="n">
        <v>1</v>
      </c>
      <c r="H857" s="20" t="n">
        <v>22</v>
      </c>
      <c r="I857" s="20" t="s">
        <v>50</v>
      </c>
    </row>
    <row r="858" customFormat="false" ht="15" hidden="false" customHeight="false" outlineLevel="0" collapsed="false">
      <c r="A858" s="20" t="s">
        <v>1583</v>
      </c>
      <c r="B858" s="20" t="s">
        <v>482</v>
      </c>
      <c r="C858" s="20" t="s">
        <v>1008</v>
      </c>
      <c r="D858" s="20" t="s">
        <v>47</v>
      </c>
      <c r="E858" s="20" t="s">
        <v>167</v>
      </c>
      <c r="F858" s="20" t="s">
        <v>72</v>
      </c>
      <c r="G858" s="20" t="n">
        <v>2</v>
      </c>
      <c r="H858" s="20" t="n">
        <v>24</v>
      </c>
      <c r="I858" s="20" t="s">
        <v>50</v>
      </c>
    </row>
    <row r="859" customFormat="false" ht="15" hidden="false" customHeight="false" outlineLevel="0" collapsed="false">
      <c r="A859" s="20" t="s">
        <v>1584</v>
      </c>
      <c r="B859" s="21" t="n">
        <v>45998</v>
      </c>
      <c r="C859" s="20" t="s">
        <v>357</v>
      </c>
      <c r="D859" s="20" t="s">
        <v>47</v>
      </c>
      <c r="E859" s="20" t="s">
        <v>92</v>
      </c>
      <c r="F859" s="20" t="s">
        <v>93</v>
      </c>
      <c r="G859" s="20" t="n">
        <v>1</v>
      </c>
      <c r="H859" s="20" t="n">
        <v>15</v>
      </c>
      <c r="I859" s="20" t="s">
        <v>50</v>
      </c>
    </row>
    <row r="860" customFormat="false" ht="15" hidden="false" customHeight="false" outlineLevel="0" collapsed="false">
      <c r="A860" s="20" t="s">
        <v>1585</v>
      </c>
      <c r="B860" s="21" t="n">
        <v>45675</v>
      </c>
      <c r="C860" s="20" t="s">
        <v>1010</v>
      </c>
      <c r="D860" s="20" t="s">
        <v>65</v>
      </c>
      <c r="E860" s="20" t="s">
        <v>81</v>
      </c>
      <c r="F860" s="20" t="s">
        <v>67</v>
      </c>
      <c r="G860" s="20" t="n">
        <v>2</v>
      </c>
      <c r="H860" s="20" t="n">
        <v>45</v>
      </c>
      <c r="I860" s="20" t="s">
        <v>50</v>
      </c>
    </row>
    <row r="861" customFormat="false" ht="15" hidden="false" customHeight="false" outlineLevel="0" collapsed="false">
      <c r="A861" s="20" t="s">
        <v>1586</v>
      </c>
      <c r="B861" s="20" t="s">
        <v>1062</v>
      </c>
      <c r="C861" s="20" t="s">
        <v>166</v>
      </c>
      <c r="D861" s="20" t="s">
        <v>59</v>
      </c>
      <c r="E861" s="20" t="s">
        <v>92</v>
      </c>
      <c r="F861" s="20" t="s">
        <v>93</v>
      </c>
      <c r="G861" s="20" t="n">
        <v>1</v>
      </c>
      <c r="H861" s="20" t="n">
        <v>15</v>
      </c>
      <c r="I861" s="20" t="s">
        <v>50</v>
      </c>
    </row>
    <row r="862" customFormat="false" ht="15" hidden="false" customHeight="false" outlineLevel="0" collapsed="false">
      <c r="A862" s="20" t="s">
        <v>1587</v>
      </c>
      <c r="B862" s="20" t="s">
        <v>1588</v>
      </c>
      <c r="C862" s="20" t="s">
        <v>97</v>
      </c>
      <c r="D862" s="20" t="s">
        <v>287</v>
      </c>
      <c r="E862" s="20" t="s">
        <v>92</v>
      </c>
      <c r="F862" s="20" t="s">
        <v>196</v>
      </c>
      <c r="G862" s="20" t="n">
        <v>1</v>
      </c>
      <c r="H862" s="20" t="n">
        <v>89</v>
      </c>
      <c r="I862" s="20" t="s">
        <v>136</v>
      </c>
    </row>
    <row r="863" customFormat="false" ht="15" hidden="false" customHeight="false" outlineLevel="0" collapsed="false">
      <c r="A863" s="20" t="s">
        <v>1589</v>
      </c>
      <c r="B863" s="20" t="s">
        <v>340</v>
      </c>
      <c r="C863" s="20" t="s">
        <v>125</v>
      </c>
      <c r="D863" s="20" t="s">
        <v>403</v>
      </c>
      <c r="E863" s="20" t="s">
        <v>54</v>
      </c>
      <c r="F863" s="20" t="s">
        <v>76</v>
      </c>
      <c r="G863" s="20" t="n">
        <v>1</v>
      </c>
      <c r="H863" s="20" t="n">
        <v>32</v>
      </c>
      <c r="I863" s="20" t="s">
        <v>163</v>
      </c>
    </row>
    <row r="864" customFormat="false" ht="15" hidden="false" customHeight="false" outlineLevel="0" collapsed="false">
      <c r="A864" s="20" t="s">
        <v>1590</v>
      </c>
      <c r="B864" s="20" t="s">
        <v>1591</v>
      </c>
      <c r="C864" s="20" t="s">
        <v>1378</v>
      </c>
      <c r="D864" s="20" t="s">
        <v>47</v>
      </c>
      <c r="E864" s="20" t="s">
        <v>48</v>
      </c>
      <c r="F864" s="20" t="s">
        <v>144</v>
      </c>
      <c r="G864" s="20" t="n">
        <v>1</v>
      </c>
      <c r="H864" s="20" t="s">
        <v>229</v>
      </c>
      <c r="I864" s="20" t="s">
        <v>288</v>
      </c>
    </row>
    <row r="865" customFormat="false" ht="15" hidden="false" customHeight="false" outlineLevel="0" collapsed="false">
      <c r="A865" s="20" t="s">
        <v>1592</v>
      </c>
      <c r="B865" s="21" t="n">
        <v>45952</v>
      </c>
      <c r="C865" s="20" t="s">
        <v>296</v>
      </c>
      <c r="D865" s="20" t="s">
        <v>59</v>
      </c>
      <c r="E865" s="20" t="s">
        <v>81</v>
      </c>
      <c r="F865" s="20" t="s">
        <v>82</v>
      </c>
      <c r="G865" s="20" t="n">
        <v>1</v>
      </c>
      <c r="H865" s="20" t="n">
        <v>22</v>
      </c>
      <c r="I865" s="20" t="s">
        <v>50</v>
      </c>
    </row>
    <row r="866" customFormat="false" ht="15" hidden="false" customHeight="false" outlineLevel="0" collapsed="false">
      <c r="A866" s="20" t="s">
        <v>1593</v>
      </c>
      <c r="B866" s="20" t="s">
        <v>1594</v>
      </c>
      <c r="C866" s="20" t="s">
        <v>592</v>
      </c>
      <c r="D866" s="20" t="s">
        <v>70</v>
      </c>
      <c r="E866" s="20" t="s">
        <v>92</v>
      </c>
      <c r="F866" s="20" t="s">
        <v>196</v>
      </c>
      <c r="G866" s="20" t="n">
        <v>1</v>
      </c>
      <c r="H866" s="20" t="n">
        <v>89</v>
      </c>
      <c r="I866" s="20" t="s">
        <v>50</v>
      </c>
    </row>
    <row r="867" customFormat="false" ht="15" hidden="false" customHeight="false" outlineLevel="0" collapsed="false">
      <c r="A867" s="20" t="s">
        <v>1595</v>
      </c>
      <c r="B867" s="20" t="s">
        <v>201</v>
      </c>
      <c r="C867" s="20" t="s">
        <v>486</v>
      </c>
      <c r="D867" s="20" t="s">
        <v>59</v>
      </c>
      <c r="E867" s="20" t="s">
        <v>81</v>
      </c>
      <c r="F867" s="20" t="s">
        <v>67</v>
      </c>
      <c r="G867" s="20" t="n">
        <v>2</v>
      </c>
      <c r="H867" s="20" t="s">
        <v>135</v>
      </c>
      <c r="I867" s="20" t="s">
        <v>50</v>
      </c>
    </row>
    <row r="868" customFormat="false" ht="15" hidden="false" customHeight="false" outlineLevel="0" collapsed="false">
      <c r="A868" s="20" t="s">
        <v>1596</v>
      </c>
      <c r="B868" s="20" t="s">
        <v>1597</v>
      </c>
      <c r="C868" s="20" t="s">
        <v>519</v>
      </c>
      <c r="D868" s="20" t="s">
        <v>47</v>
      </c>
      <c r="E868" s="20" t="s">
        <v>81</v>
      </c>
      <c r="F868" s="20" t="s">
        <v>61</v>
      </c>
      <c r="G868" s="20" t="n">
        <v>1</v>
      </c>
      <c r="H868" s="20" t="n">
        <v>35</v>
      </c>
      <c r="I868" s="20" t="s">
        <v>50</v>
      </c>
    </row>
    <row r="869" customFormat="false" ht="15" hidden="false" customHeight="false" outlineLevel="0" collapsed="false">
      <c r="A869" s="20" t="s">
        <v>1073</v>
      </c>
      <c r="B869" s="20" t="s">
        <v>1074</v>
      </c>
      <c r="C869" s="20" t="s">
        <v>296</v>
      </c>
      <c r="D869" s="20" t="s">
        <v>109</v>
      </c>
      <c r="E869" s="20" t="s">
        <v>48</v>
      </c>
      <c r="F869" s="20" t="s">
        <v>116</v>
      </c>
      <c r="G869" s="20" t="n">
        <v>4</v>
      </c>
      <c r="H869" s="20" t="n">
        <v>28</v>
      </c>
      <c r="I869" s="20" t="s">
        <v>50</v>
      </c>
    </row>
    <row r="870" customFormat="false" ht="15" hidden="false" customHeight="false" outlineLevel="0" collapsed="false">
      <c r="A870" s="20" t="s">
        <v>1598</v>
      </c>
      <c r="B870" s="21" t="n">
        <v>45941</v>
      </c>
      <c r="C870" s="20" t="s">
        <v>616</v>
      </c>
      <c r="D870" s="20" t="s">
        <v>109</v>
      </c>
      <c r="E870" s="20" t="s">
        <v>110</v>
      </c>
      <c r="F870" s="20" t="s">
        <v>111</v>
      </c>
      <c r="G870" s="20" t="n">
        <v>1</v>
      </c>
      <c r="H870" s="20" t="n">
        <v>16</v>
      </c>
      <c r="I870" s="20" t="s">
        <v>50</v>
      </c>
    </row>
    <row r="871" customFormat="false" ht="15" hidden="false" customHeight="false" outlineLevel="0" collapsed="false">
      <c r="A871" s="20" t="s">
        <v>1599</v>
      </c>
      <c r="B871" s="20" t="s">
        <v>1600</v>
      </c>
      <c r="C871" s="20" t="s">
        <v>174</v>
      </c>
      <c r="D871" s="20" t="s">
        <v>47</v>
      </c>
      <c r="E871" s="20" t="s">
        <v>48</v>
      </c>
      <c r="F871" s="20" t="s">
        <v>116</v>
      </c>
      <c r="G871" s="20" t="n">
        <v>1</v>
      </c>
      <c r="H871" s="20" t="s">
        <v>162</v>
      </c>
      <c r="I871" s="20" t="s">
        <v>50</v>
      </c>
    </row>
    <row r="872" customFormat="false" ht="15" hidden="false" customHeight="false" outlineLevel="0" collapsed="false">
      <c r="A872" s="20" t="s">
        <v>1601</v>
      </c>
      <c r="B872" s="21" t="n">
        <v>45953</v>
      </c>
      <c r="C872" s="20" t="s">
        <v>909</v>
      </c>
      <c r="D872" s="20" t="s">
        <v>47</v>
      </c>
      <c r="E872" s="20" t="s">
        <v>92</v>
      </c>
      <c r="F872" s="20" t="s">
        <v>105</v>
      </c>
      <c r="G872" s="20" t="n">
        <v>1</v>
      </c>
      <c r="H872" s="20" t="n">
        <v>49</v>
      </c>
      <c r="I872" s="20" t="s">
        <v>50</v>
      </c>
    </row>
    <row r="873" customFormat="false" ht="15" hidden="false" customHeight="false" outlineLevel="0" collapsed="false">
      <c r="A873" s="20" t="s">
        <v>1602</v>
      </c>
      <c r="B873" s="20" t="s">
        <v>1603</v>
      </c>
      <c r="C873" s="20" t="s">
        <v>1010</v>
      </c>
      <c r="D873" s="20" t="s">
        <v>47</v>
      </c>
      <c r="E873" s="20" t="s">
        <v>54</v>
      </c>
      <c r="F873" s="20" t="s">
        <v>76</v>
      </c>
      <c r="G873" s="20" t="n">
        <v>1</v>
      </c>
      <c r="H873" s="20" t="n">
        <v>32</v>
      </c>
      <c r="I873" s="20" t="s">
        <v>50</v>
      </c>
    </row>
    <row r="874" customFormat="false" ht="15" hidden="false" customHeight="false" outlineLevel="0" collapsed="false">
      <c r="A874" s="20" t="s">
        <v>1604</v>
      </c>
      <c r="B874" s="21" t="n">
        <v>45963</v>
      </c>
      <c r="C874" s="20" t="s">
        <v>286</v>
      </c>
      <c r="D874" s="20" t="s">
        <v>70</v>
      </c>
      <c r="E874" s="20" t="s">
        <v>54</v>
      </c>
      <c r="F874" s="20" t="s">
        <v>55</v>
      </c>
      <c r="G874" s="20" t="n">
        <v>2</v>
      </c>
      <c r="H874" s="20" t="n">
        <v>38</v>
      </c>
      <c r="I874" s="20" t="s">
        <v>50</v>
      </c>
    </row>
    <row r="875" customFormat="false" ht="15" hidden="false" customHeight="false" outlineLevel="0" collapsed="false">
      <c r="A875" s="20" t="s">
        <v>1605</v>
      </c>
      <c r="B875" s="20" t="s">
        <v>1606</v>
      </c>
      <c r="C875" s="20" t="s">
        <v>304</v>
      </c>
      <c r="D875" s="20" t="s">
        <v>70</v>
      </c>
      <c r="E875" s="20" t="s">
        <v>81</v>
      </c>
      <c r="F875" s="20" t="s">
        <v>82</v>
      </c>
      <c r="G875" s="20" t="n">
        <v>1</v>
      </c>
      <c r="H875" s="20" t="s">
        <v>154</v>
      </c>
      <c r="I875" s="20" t="s">
        <v>50</v>
      </c>
    </row>
    <row r="876" customFormat="false" ht="15" hidden="false" customHeight="false" outlineLevel="0" collapsed="false">
      <c r="A876" s="20" t="s">
        <v>1607</v>
      </c>
      <c r="B876" s="20" t="s">
        <v>1608</v>
      </c>
      <c r="C876" s="20"/>
      <c r="D876" s="20" t="s">
        <v>70</v>
      </c>
      <c r="E876" s="20" t="s">
        <v>54</v>
      </c>
      <c r="F876" s="20" t="s">
        <v>72</v>
      </c>
      <c r="G876" s="20" t="n">
        <v>2</v>
      </c>
      <c r="H876" s="20" t="s">
        <v>293</v>
      </c>
      <c r="I876" s="20" t="s">
        <v>50</v>
      </c>
    </row>
    <row r="877" customFormat="false" ht="15" hidden="false" customHeight="false" outlineLevel="0" collapsed="false">
      <c r="A877" s="20" t="s">
        <v>1609</v>
      </c>
      <c r="B877" s="20" t="s">
        <v>1610</v>
      </c>
      <c r="C877" s="20" t="s">
        <v>380</v>
      </c>
      <c r="D877" s="20" t="s">
        <v>287</v>
      </c>
      <c r="E877" s="20" t="s">
        <v>54</v>
      </c>
      <c r="F877" s="20" t="s">
        <v>55</v>
      </c>
      <c r="G877" s="20" t="n">
        <v>1</v>
      </c>
      <c r="H877" s="20" t="s">
        <v>259</v>
      </c>
      <c r="I877" s="20" t="s">
        <v>50</v>
      </c>
    </row>
    <row r="878" customFormat="false" ht="15" hidden="false" customHeight="false" outlineLevel="0" collapsed="false">
      <c r="A878" s="20" t="s">
        <v>1611</v>
      </c>
      <c r="B878" s="20" t="s">
        <v>1612</v>
      </c>
      <c r="C878" s="20" t="s">
        <v>923</v>
      </c>
      <c r="D878" s="20" t="s">
        <v>70</v>
      </c>
      <c r="E878" s="20" t="s">
        <v>81</v>
      </c>
      <c r="F878" s="20" t="s">
        <v>67</v>
      </c>
      <c r="G878" s="20" t="n">
        <v>1</v>
      </c>
      <c r="H878" s="20" t="s">
        <v>135</v>
      </c>
      <c r="I878" s="20" t="s">
        <v>50</v>
      </c>
    </row>
    <row r="879" customFormat="false" ht="15" hidden="false" customHeight="false" outlineLevel="0" collapsed="false">
      <c r="A879" s="20" t="s">
        <v>1613</v>
      </c>
      <c r="B879" s="20" t="s">
        <v>1614</v>
      </c>
      <c r="C879" s="20" t="s">
        <v>186</v>
      </c>
      <c r="D879" s="20" t="s">
        <v>70</v>
      </c>
      <c r="E879" s="20" t="s">
        <v>110</v>
      </c>
      <c r="F879" s="20" t="s">
        <v>121</v>
      </c>
      <c r="G879" s="20" t="n">
        <v>1</v>
      </c>
      <c r="H879" s="20" t="n">
        <v>21</v>
      </c>
      <c r="I879" s="20" t="s">
        <v>50</v>
      </c>
    </row>
    <row r="880" customFormat="false" ht="15" hidden="false" customHeight="false" outlineLevel="0" collapsed="false">
      <c r="A880" s="20" t="s">
        <v>1615</v>
      </c>
      <c r="B880" s="21" t="n">
        <v>45832</v>
      </c>
      <c r="C880" s="20" t="s">
        <v>925</v>
      </c>
      <c r="D880" s="20" t="s">
        <v>47</v>
      </c>
      <c r="E880" s="20" t="s">
        <v>92</v>
      </c>
      <c r="F880" s="20" t="s">
        <v>93</v>
      </c>
      <c r="G880" s="20" t="n">
        <v>2</v>
      </c>
      <c r="H880" s="20" t="s">
        <v>94</v>
      </c>
      <c r="I880" s="20" t="s">
        <v>50</v>
      </c>
    </row>
    <row r="881" customFormat="false" ht="15" hidden="false" customHeight="false" outlineLevel="0" collapsed="false">
      <c r="A881" s="20" t="s">
        <v>1616</v>
      </c>
      <c r="B881" s="20" t="s">
        <v>1617</v>
      </c>
      <c r="C881" s="20" t="s">
        <v>323</v>
      </c>
      <c r="D881" s="20" t="s">
        <v>345</v>
      </c>
      <c r="E881" s="20" t="s">
        <v>120</v>
      </c>
      <c r="F881" s="20" t="s">
        <v>121</v>
      </c>
      <c r="G881" s="20" t="n">
        <v>1</v>
      </c>
      <c r="H881" s="20" t="n">
        <v>21</v>
      </c>
      <c r="I881" s="20" t="s">
        <v>163</v>
      </c>
    </row>
    <row r="882" customFormat="false" ht="15" hidden="false" customHeight="false" outlineLevel="0" collapsed="false">
      <c r="A882" s="20" t="s">
        <v>1618</v>
      </c>
      <c r="B882" s="21" t="n">
        <v>45830</v>
      </c>
      <c r="C882" s="20" t="s">
        <v>318</v>
      </c>
      <c r="D882" s="20" t="s">
        <v>345</v>
      </c>
      <c r="E882" s="20" t="s">
        <v>54</v>
      </c>
      <c r="F882" s="20" t="s">
        <v>55</v>
      </c>
      <c r="G882" s="20" t="n">
        <v>1</v>
      </c>
      <c r="H882" s="20" t="n">
        <v>38</v>
      </c>
      <c r="I882" s="20" t="s">
        <v>50</v>
      </c>
    </row>
    <row r="883" customFormat="false" ht="15" hidden="false" customHeight="false" outlineLevel="0" collapsed="false">
      <c r="A883" s="20" t="s">
        <v>1619</v>
      </c>
      <c r="B883" s="20" t="s">
        <v>864</v>
      </c>
      <c r="C883" s="20" t="s">
        <v>600</v>
      </c>
      <c r="D883" s="20" t="s">
        <v>47</v>
      </c>
      <c r="E883" s="20" t="s">
        <v>228</v>
      </c>
      <c r="F883" s="20" t="s">
        <v>49</v>
      </c>
      <c r="G883" s="20" t="n">
        <v>1</v>
      </c>
      <c r="H883" s="20" t="n">
        <v>18</v>
      </c>
      <c r="I883" s="20" t="s">
        <v>50</v>
      </c>
    </row>
    <row r="884" customFormat="false" ht="15" hidden="false" customHeight="false" outlineLevel="0" collapsed="false">
      <c r="A884" s="20" t="s">
        <v>1620</v>
      </c>
      <c r="B884" s="20" t="s">
        <v>1621</v>
      </c>
      <c r="C884" s="20" t="s">
        <v>1091</v>
      </c>
      <c r="D884" s="20" t="s">
        <v>70</v>
      </c>
      <c r="E884" s="20" t="s">
        <v>54</v>
      </c>
      <c r="F884" s="20" t="s">
        <v>55</v>
      </c>
      <c r="G884" s="20" t="n">
        <v>1</v>
      </c>
      <c r="H884" s="20" t="n">
        <v>38</v>
      </c>
      <c r="I884" s="20" t="s">
        <v>50</v>
      </c>
    </row>
    <row r="885" customFormat="false" ht="15" hidden="false" customHeight="false" outlineLevel="0" collapsed="false">
      <c r="A885" s="20" t="s">
        <v>1622</v>
      </c>
      <c r="B885" s="20" t="s">
        <v>1623</v>
      </c>
      <c r="C885" s="20" t="s">
        <v>934</v>
      </c>
      <c r="D885" s="20" t="s">
        <v>59</v>
      </c>
      <c r="E885" s="20" t="s">
        <v>54</v>
      </c>
      <c r="F885" s="20" t="s">
        <v>72</v>
      </c>
      <c r="G885" s="20" t="n">
        <v>3</v>
      </c>
      <c r="H885" s="20" t="n">
        <v>24</v>
      </c>
      <c r="I885" s="20" t="s">
        <v>112</v>
      </c>
    </row>
    <row r="886" customFormat="false" ht="15" hidden="false" customHeight="false" outlineLevel="0" collapsed="false">
      <c r="A886" s="20" t="s">
        <v>1624</v>
      </c>
      <c r="B886" s="21" t="n">
        <v>45768</v>
      </c>
      <c r="C886" s="20" t="s">
        <v>483</v>
      </c>
      <c r="D886" s="20" t="s">
        <v>59</v>
      </c>
      <c r="E886" s="20" t="s">
        <v>92</v>
      </c>
      <c r="F886" s="20" t="s">
        <v>196</v>
      </c>
      <c r="G886" s="20" t="n">
        <v>1</v>
      </c>
      <c r="H886" s="20" t="s">
        <v>220</v>
      </c>
      <c r="I886" s="20" t="s">
        <v>50</v>
      </c>
    </row>
    <row r="887" customFormat="false" ht="15" hidden="false" customHeight="false" outlineLevel="0" collapsed="false">
      <c r="A887" s="20" t="s">
        <v>1625</v>
      </c>
      <c r="B887" s="21" t="n">
        <v>45938</v>
      </c>
      <c r="C887" s="20" t="s">
        <v>901</v>
      </c>
      <c r="D887" s="20" t="s">
        <v>59</v>
      </c>
      <c r="E887" s="20" t="s">
        <v>54</v>
      </c>
      <c r="F887" s="20" t="s">
        <v>76</v>
      </c>
      <c r="G887" s="20" t="n">
        <v>1</v>
      </c>
      <c r="H887" s="20" t="n">
        <v>32</v>
      </c>
      <c r="I887" s="20" t="s">
        <v>136</v>
      </c>
    </row>
    <row r="888" customFormat="false" ht="15" hidden="false" customHeight="false" outlineLevel="0" collapsed="false">
      <c r="A888" s="20" t="s">
        <v>1159</v>
      </c>
      <c r="B888" s="20" t="s">
        <v>1160</v>
      </c>
      <c r="C888" s="20" t="s">
        <v>826</v>
      </c>
      <c r="D888" s="20" t="s">
        <v>59</v>
      </c>
      <c r="E888" s="20" t="s">
        <v>81</v>
      </c>
      <c r="F888" s="20" t="s">
        <v>61</v>
      </c>
      <c r="G888" s="20" t="n">
        <v>3</v>
      </c>
      <c r="H888" s="20" t="n">
        <v>35</v>
      </c>
      <c r="I888" s="20" t="s">
        <v>136</v>
      </c>
    </row>
    <row r="889" customFormat="false" ht="15" hidden="false" customHeight="false" outlineLevel="0" collapsed="false">
      <c r="A889" s="20" t="s">
        <v>1626</v>
      </c>
      <c r="B889" s="20" t="s">
        <v>1627</v>
      </c>
      <c r="C889" s="20" t="s">
        <v>1008</v>
      </c>
      <c r="D889" s="20" t="s">
        <v>65</v>
      </c>
      <c r="E889" s="20" t="s">
        <v>48</v>
      </c>
      <c r="F889" s="20" t="s">
        <v>144</v>
      </c>
      <c r="G889" s="20" t="n">
        <v>2</v>
      </c>
      <c r="H889" s="20" t="s">
        <v>229</v>
      </c>
      <c r="I889" s="20" t="s">
        <v>50</v>
      </c>
    </row>
    <row r="890" customFormat="false" ht="15" hidden="false" customHeight="false" outlineLevel="0" collapsed="false">
      <c r="A890" s="20" t="s">
        <v>1628</v>
      </c>
      <c r="B890" s="20" t="s">
        <v>379</v>
      </c>
      <c r="C890" s="20" t="s">
        <v>64</v>
      </c>
      <c r="D890" s="20" t="s">
        <v>301</v>
      </c>
      <c r="E890" s="20" t="s">
        <v>54</v>
      </c>
      <c r="F890" s="20" t="s">
        <v>76</v>
      </c>
      <c r="G890" s="20" t="n">
        <v>1</v>
      </c>
      <c r="H890" s="20" t="n">
        <v>32</v>
      </c>
      <c r="I890" s="20" t="s">
        <v>50</v>
      </c>
    </row>
    <row r="891" customFormat="false" ht="15" hidden="false" customHeight="false" outlineLevel="0" collapsed="false">
      <c r="A891" s="20" t="s">
        <v>1629</v>
      </c>
      <c r="B891" s="20" t="s">
        <v>1630</v>
      </c>
      <c r="C891" s="20" t="s">
        <v>52</v>
      </c>
      <c r="D891" s="20" t="s">
        <v>65</v>
      </c>
      <c r="E891" s="20" t="s">
        <v>60</v>
      </c>
      <c r="F891" s="20" t="s">
        <v>67</v>
      </c>
      <c r="G891" s="20" t="n">
        <v>1</v>
      </c>
      <c r="H891" s="20" t="n">
        <v>45</v>
      </c>
      <c r="I891" s="20" t="s">
        <v>50</v>
      </c>
    </row>
    <row r="892" customFormat="false" ht="15" hidden="false" customHeight="false" outlineLevel="0" collapsed="false">
      <c r="A892" s="20" t="s">
        <v>1631</v>
      </c>
      <c r="B892" s="20" t="s">
        <v>697</v>
      </c>
      <c r="C892" s="20" t="s">
        <v>570</v>
      </c>
      <c r="D892" s="20" t="s">
        <v>59</v>
      </c>
      <c r="E892" s="20" t="s">
        <v>48</v>
      </c>
      <c r="F892" s="20" t="s">
        <v>49</v>
      </c>
      <c r="G892" s="20" t="n">
        <v>1</v>
      </c>
      <c r="H892" s="20" t="s">
        <v>180</v>
      </c>
      <c r="I892" s="20" t="s">
        <v>50</v>
      </c>
    </row>
    <row r="893" customFormat="false" ht="15" hidden="false" customHeight="false" outlineLevel="0" collapsed="false">
      <c r="A893" s="20" t="s">
        <v>972</v>
      </c>
      <c r="B893" s="20" t="s">
        <v>441</v>
      </c>
      <c r="C893" s="20" t="s">
        <v>75</v>
      </c>
      <c r="D893" s="20" t="s">
        <v>47</v>
      </c>
      <c r="E893" s="20" t="s">
        <v>81</v>
      </c>
      <c r="F893" s="20" t="s">
        <v>82</v>
      </c>
      <c r="G893" s="20" t="n">
        <v>2</v>
      </c>
      <c r="H893" s="20" t="n">
        <v>22</v>
      </c>
      <c r="I893" s="20" t="s">
        <v>163</v>
      </c>
    </row>
    <row r="894" customFormat="false" ht="15" hidden="false" customHeight="false" outlineLevel="0" collapsed="false">
      <c r="A894" s="20" t="s">
        <v>1632</v>
      </c>
      <c r="B894" s="20" t="s">
        <v>1633</v>
      </c>
      <c r="C894" s="20" t="s">
        <v>1001</v>
      </c>
      <c r="D894" s="20" t="s">
        <v>59</v>
      </c>
      <c r="E894" s="20" t="s">
        <v>228</v>
      </c>
      <c r="F894" s="20" t="s">
        <v>49</v>
      </c>
      <c r="G894" s="20" t="n">
        <v>1</v>
      </c>
      <c r="H894" s="20" t="n">
        <v>18</v>
      </c>
      <c r="I894" s="20" t="s">
        <v>136</v>
      </c>
    </row>
    <row r="895" customFormat="false" ht="15" hidden="false" customHeight="false" outlineLevel="0" collapsed="false">
      <c r="A895" s="20" t="s">
        <v>1634</v>
      </c>
      <c r="B895" s="20" t="s">
        <v>1299</v>
      </c>
      <c r="C895" s="20" t="s">
        <v>58</v>
      </c>
      <c r="D895" s="20" t="s">
        <v>47</v>
      </c>
      <c r="E895" s="20" t="s">
        <v>81</v>
      </c>
      <c r="F895" s="20" t="s">
        <v>61</v>
      </c>
      <c r="G895" s="20" t="n">
        <v>1</v>
      </c>
      <c r="H895" s="20" t="n">
        <v>35</v>
      </c>
      <c r="I895" s="20" t="s">
        <v>50</v>
      </c>
    </row>
    <row r="896" customFormat="false" ht="15" hidden="false" customHeight="false" outlineLevel="0" collapsed="false">
      <c r="A896" s="20" t="s">
        <v>1635</v>
      </c>
      <c r="B896" s="20" t="s">
        <v>1440</v>
      </c>
      <c r="C896" s="20" t="s">
        <v>104</v>
      </c>
      <c r="D896" s="20" t="s">
        <v>47</v>
      </c>
      <c r="E896" s="20" t="s">
        <v>81</v>
      </c>
      <c r="F896" s="20" t="s">
        <v>82</v>
      </c>
      <c r="G896" s="20" t="n">
        <v>1</v>
      </c>
      <c r="H896" s="20" t="n">
        <v>22</v>
      </c>
      <c r="I896" s="20" t="s">
        <v>112</v>
      </c>
    </row>
    <row r="897" customFormat="false" ht="15" hidden="false" customHeight="false" outlineLevel="0" collapsed="false">
      <c r="A897" s="20" t="s">
        <v>804</v>
      </c>
      <c r="B897" s="20" t="s">
        <v>805</v>
      </c>
      <c r="C897" s="20" t="s">
        <v>338</v>
      </c>
      <c r="D897" s="20" t="s">
        <v>65</v>
      </c>
      <c r="E897" s="20" t="s">
        <v>81</v>
      </c>
      <c r="F897" s="20" t="s">
        <v>82</v>
      </c>
      <c r="G897" s="20" t="n">
        <v>2</v>
      </c>
      <c r="H897" s="20" t="n">
        <v>22</v>
      </c>
      <c r="I897" s="20" t="s">
        <v>50</v>
      </c>
    </row>
    <row r="898" customFormat="false" ht="15" hidden="false" customHeight="false" outlineLevel="0" collapsed="false">
      <c r="A898" s="20" t="s">
        <v>1636</v>
      </c>
      <c r="B898" s="20" t="s">
        <v>328</v>
      </c>
      <c r="C898" s="20"/>
      <c r="D898" s="20" t="s">
        <v>47</v>
      </c>
      <c r="E898" s="20" t="s">
        <v>48</v>
      </c>
      <c r="F898" s="20" t="s">
        <v>49</v>
      </c>
      <c r="G898" s="20" t="n">
        <v>1</v>
      </c>
      <c r="H898" s="20" t="s">
        <v>180</v>
      </c>
      <c r="I898" s="20" t="s">
        <v>50</v>
      </c>
    </row>
    <row r="899" customFormat="false" ht="15" hidden="false" customHeight="false" outlineLevel="0" collapsed="false">
      <c r="A899" s="20" t="s">
        <v>1637</v>
      </c>
      <c r="B899" s="20" t="s">
        <v>1638</v>
      </c>
      <c r="C899" s="20" t="s">
        <v>323</v>
      </c>
      <c r="D899" s="20" t="s">
        <v>109</v>
      </c>
      <c r="E899" s="20" t="s">
        <v>110</v>
      </c>
      <c r="F899" s="20" t="s">
        <v>121</v>
      </c>
      <c r="G899" s="20" t="n">
        <v>2</v>
      </c>
      <c r="H899" s="20" t="n">
        <v>21</v>
      </c>
      <c r="I899" s="20" t="s">
        <v>50</v>
      </c>
    </row>
    <row r="900" customFormat="false" ht="15" hidden="false" customHeight="false" outlineLevel="0" collapsed="false">
      <c r="A900" s="20" t="s">
        <v>746</v>
      </c>
      <c r="B900" s="21" t="n">
        <v>45925</v>
      </c>
      <c r="C900" s="20" t="s">
        <v>100</v>
      </c>
      <c r="D900" s="20" t="s">
        <v>47</v>
      </c>
      <c r="E900" s="20" t="s">
        <v>81</v>
      </c>
      <c r="F900" s="20" t="s">
        <v>67</v>
      </c>
      <c r="G900" s="20" t="n">
        <v>1</v>
      </c>
      <c r="H900" s="20" t="n">
        <v>45</v>
      </c>
      <c r="I900" s="20" t="s">
        <v>50</v>
      </c>
    </row>
    <row r="901" customFormat="false" ht="15" hidden="false" customHeight="false" outlineLevel="0" collapsed="false">
      <c r="A901" s="20" t="s">
        <v>1639</v>
      </c>
      <c r="B901" s="20" t="s">
        <v>1640</v>
      </c>
      <c r="C901" s="20" t="s">
        <v>552</v>
      </c>
      <c r="D901" s="20" t="s">
        <v>65</v>
      </c>
      <c r="E901" s="20" t="s">
        <v>140</v>
      </c>
      <c r="F901" s="20" t="s">
        <v>93</v>
      </c>
      <c r="G901" s="20" t="n">
        <v>2</v>
      </c>
      <c r="H901" s="20" t="n">
        <v>15</v>
      </c>
      <c r="I901" s="20" t="s">
        <v>50</v>
      </c>
    </row>
    <row r="902" customFormat="false" ht="15" hidden="false" customHeight="false" outlineLevel="0" collapsed="false">
      <c r="A902" s="20" t="s">
        <v>1641</v>
      </c>
      <c r="B902" s="20" t="s">
        <v>1361</v>
      </c>
      <c r="C902" s="20" t="s">
        <v>573</v>
      </c>
      <c r="D902" s="20" t="s">
        <v>253</v>
      </c>
      <c r="E902" s="20" t="s">
        <v>48</v>
      </c>
      <c r="F902" s="20" t="s">
        <v>116</v>
      </c>
      <c r="G902" s="20" t="n">
        <v>1</v>
      </c>
      <c r="H902" s="20" t="n">
        <v>28</v>
      </c>
      <c r="I902" s="20" t="s">
        <v>50</v>
      </c>
    </row>
    <row r="903" customFormat="false" ht="15" hidden="false" customHeight="false" outlineLevel="0" collapsed="false">
      <c r="A903" s="20" t="s">
        <v>1642</v>
      </c>
      <c r="B903" s="20" t="s">
        <v>1643</v>
      </c>
      <c r="C903" s="20" t="s">
        <v>250</v>
      </c>
      <c r="D903" s="20" t="s">
        <v>109</v>
      </c>
      <c r="E903" s="20" t="s">
        <v>48</v>
      </c>
      <c r="F903" s="20" t="s">
        <v>144</v>
      </c>
      <c r="G903" s="20" t="n">
        <v>1</v>
      </c>
      <c r="H903" s="20" t="s">
        <v>229</v>
      </c>
      <c r="I903" s="20" t="s">
        <v>50</v>
      </c>
    </row>
    <row r="904" customFormat="false" ht="15" hidden="false" customHeight="false" outlineLevel="0" collapsed="false">
      <c r="A904" s="20" t="s">
        <v>1644</v>
      </c>
      <c r="B904" s="20" t="s">
        <v>1645</v>
      </c>
      <c r="C904" s="20" t="s">
        <v>424</v>
      </c>
      <c r="D904" s="20" t="s">
        <v>47</v>
      </c>
      <c r="E904" s="20" t="s">
        <v>92</v>
      </c>
      <c r="F904" s="20" t="s">
        <v>93</v>
      </c>
      <c r="G904" s="20" t="n">
        <v>1</v>
      </c>
      <c r="H904" s="20" t="n">
        <v>15</v>
      </c>
      <c r="I904" s="20" t="s">
        <v>50</v>
      </c>
    </row>
    <row r="905" customFormat="false" ht="15" hidden="false" customHeight="false" outlineLevel="0" collapsed="false">
      <c r="A905" s="20" t="s">
        <v>1646</v>
      </c>
      <c r="B905" s="20" t="s">
        <v>1158</v>
      </c>
      <c r="C905" s="20" t="s">
        <v>46</v>
      </c>
      <c r="D905" s="20" t="s">
        <v>47</v>
      </c>
      <c r="E905" s="20" t="s">
        <v>81</v>
      </c>
      <c r="F905" s="20" t="s">
        <v>61</v>
      </c>
      <c r="G905" s="20" t="n">
        <v>1</v>
      </c>
      <c r="H905" s="20" t="s">
        <v>88</v>
      </c>
      <c r="I905" s="20" t="s">
        <v>50</v>
      </c>
    </row>
    <row r="906" customFormat="false" ht="15" hidden="false" customHeight="false" outlineLevel="0" collapsed="false">
      <c r="A906" s="20" t="s">
        <v>1647</v>
      </c>
      <c r="B906" s="20" t="s">
        <v>834</v>
      </c>
      <c r="C906" s="20" t="s">
        <v>69</v>
      </c>
      <c r="D906" s="20" t="s">
        <v>65</v>
      </c>
      <c r="E906" s="20" t="s">
        <v>81</v>
      </c>
      <c r="F906" s="20" t="s">
        <v>67</v>
      </c>
      <c r="G906" s="20" t="n">
        <v>1</v>
      </c>
      <c r="H906" s="20" t="s">
        <v>135</v>
      </c>
      <c r="I906" s="20" t="s">
        <v>50</v>
      </c>
    </row>
    <row r="907" customFormat="false" ht="15" hidden="false" customHeight="false" outlineLevel="0" collapsed="false">
      <c r="A907" s="20" t="s">
        <v>1648</v>
      </c>
      <c r="B907" s="20" t="s">
        <v>1575</v>
      </c>
      <c r="C907" s="20" t="s">
        <v>412</v>
      </c>
      <c r="D907" s="20" t="s">
        <v>109</v>
      </c>
      <c r="E907" s="20" t="s">
        <v>110</v>
      </c>
      <c r="F907" s="20" t="s">
        <v>111</v>
      </c>
      <c r="G907" s="20" t="n">
        <v>1</v>
      </c>
      <c r="H907" s="20" t="n">
        <v>16</v>
      </c>
      <c r="I907" s="20" t="s">
        <v>50</v>
      </c>
    </row>
    <row r="908" customFormat="false" ht="15" hidden="false" customHeight="false" outlineLevel="0" collapsed="false">
      <c r="A908" s="20" t="s">
        <v>1649</v>
      </c>
      <c r="B908" s="21" t="n">
        <v>45971</v>
      </c>
      <c r="C908" s="20" t="s">
        <v>377</v>
      </c>
      <c r="D908" s="20" t="s">
        <v>345</v>
      </c>
      <c r="E908" s="20" t="s">
        <v>92</v>
      </c>
      <c r="F908" s="20" t="s">
        <v>93</v>
      </c>
      <c r="G908" s="20" t="n">
        <v>3</v>
      </c>
      <c r="H908" s="20" t="n">
        <v>15</v>
      </c>
      <c r="I908" s="20" t="s">
        <v>50</v>
      </c>
    </row>
    <row r="909" customFormat="false" ht="15" hidden="false" customHeight="false" outlineLevel="0" collapsed="false">
      <c r="A909" s="20" t="s">
        <v>1650</v>
      </c>
      <c r="B909" s="21" t="n">
        <v>45719</v>
      </c>
      <c r="C909" s="20" t="s">
        <v>983</v>
      </c>
      <c r="D909" s="20" t="s">
        <v>109</v>
      </c>
      <c r="E909" s="20" t="s">
        <v>48</v>
      </c>
      <c r="F909" s="20" t="s">
        <v>49</v>
      </c>
      <c r="G909" s="20" t="n">
        <v>1</v>
      </c>
      <c r="H909" s="20" t="n">
        <v>18</v>
      </c>
      <c r="I909" s="20" t="s">
        <v>50</v>
      </c>
    </row>
    <row r="910" customFormat="false" ht="15" hidden="false" customHeight="false" outlineLevel="0" collapsed="false">
      <c r="A910" s="20" t="s">
        <v>1651</v>
      </c>
      <c r="B910" s="20" t="s">
        <v>1652</v>
      </c>
      <c r="C910" s="20" t="s">
        <v>296</v>
      </c>
      <c r="D910" s="20" t="s">
        <v>70</v>
      </c>
      <c r="E910" s="20" t="s">
        <v>48</v>
      </c>
      <c r="F910" s="20" t="s">
        <v>116</v>
      </c>
      <c r="G910" s="20" t="n">
        <v>1</v>
      </c>
      <c r="H910" s="20" t="n">
        <v>28</v>
      </c>
      <c r="I910" s="20" t="s">
        <v>50</v>
      </c>
    </row>
    <row r="911" customFormat="false" ht="15" hidden="false" customHeight="false" outlineLevel="0" collapsed="false">
      <c r="A911" s="20" t="s">
        <v>1653</v>
      </c>
      <c r="B911" s="20" t="s">
        <v>1155</v>
      </c>
      <c r="C911" s="20" t="s">
        <v>174</v>
      </c>
      <c r="D911" s="20" t="s">
        <v>109</v>
      </c>
      <c r="E911" s="20" t="s">
        <v>81</v>
      </c>
      <c r="F911" s="20" t="s">
        <v>82</v>
      </c>
      <c r="G911" s="20" t="n">
        <v>1</v>
      </c>
      <c r="H911" s="20" t="n">
        <v>22</v>
      </c>
      <c r="I911" s="20" t="s">
        <v>50</v>
      </c>
    </row>
    <row r="912" customFormat="false" ht="15" hidden="false" customHeight="false" outlineLevel="0" collapsed="false">
      <c r="A912" s="20" t="s">
        <v>1654</v>
      </c>
      <c r="B912" s="20" t="s">
        <v>1655</v>
      </c>
      <c r="C912" s="20" t="s">
        <v>291</v>
      </c>
      <c r="D912" s="20" t="s">
        <v>59</v>
      </c>
      <c r="E912" s="20" t="s">
        <v>505</v>
      </c>
      <c r="F912" s="20" t="s">
        <v>144</v>
      </c>
      <c r="G912" s="20" t="n">
        <v>2</v>
      </c>
      <c r="H912" s="20" t="n">
        <v>54</v>
      </c>
      <c r="I912" s="20" t="s">
        <v>50</v>
      </c>
    </row>
    <row r="913" customFormat="false" ht="15" hidden="false" customHeight="false" outlineLevel="0" collapsed="false">
      <c r="A913" s="20" t="s">
        <v>1656</v>
      </c>
      <c r="B913" s="20" t="s">
        <v>1657</v>
      </c>
      <c r="C913" s="20"/>
      <c r="D913" s="20" t="s">
        <v>59</v>
      </c>
      <c r="E913" s="20" t="s">
        <v>207</v>
      </c>
      <c r="F913" s="20" t="s">
        <v>93</v>
      </c>
      <c r="G913" s="20" t="n">
        <v>1</v>
      </c>
      <c r="H913" s="20" t="n">
        <v>15</v>
      </c>
      <c r="I913" s="20" t="s">
        <v>50</v>
      </c>
    </row>
    <row r="914" customFormat="false" ht="15" hidden="false" customHeight="false" outlineLevel="0" collapsed="false">
      <c r="A914" s="20" t="s">
        <v>1658</v>
      </c>
      <c r="B914" s="21" t="n">
        <v>45895</v>
      </c>
      <c r="C914" s="20" t="s">
        <v>192</v>
      </c>
      <c r="D914" s="20" t="s">
        <v>171</v>
      </c>
      <c r="E914" s="20" t="s">
        <v>48</v>
      </c>
      <c r="F914" s="20" t="s">
        <v>116</v>
      </c>
      <c r="G914" s="20" t="n">
        <v>2</v>
      </c>
      <c r="H914" s="20" t="n">
        <v>28</v>
      </c>
      <c r="I914" s="20" t="s">
        <v>50</v>
      </c>
    </row>
    <row r="915" customFormat="false" ht="15" hidden="false" customHeight="false" outlineLevel="0" collapsed="false">
      <c r="A915" s="20" t="s">
        <v>1659</v>
      </c>
      <c r="B915" s="20" t="s">
        <v>582</v>
      </c>
      <c r="C915" s="20" t="s">
        <v>183</v>
      </c>
      <c r="D915" s="20" t="s">
        <v>707</v>
      </c>
      <c r="E915" s="20" t="s">
        <v>81</v>
      </c>
      <c r="F915" s="20" t="s">
        <v>82</v>
      </c>
      <c r="G915" s="20" t="n">
        <v>1</v>
      </c>
      <c r="H915" s="20" t="n">
        <v>22</v>
      </c>
      <c r="I915" s="20" t="s">
        <v>50</v>
      </c>
    </row>
    <row r="916" customFormat="false" ht="15" hidden="false" customHeight="false" outlineLevel="0" collapsed="false">
      <c r="A916" s="20" t="s">
        <v>1660</v>
      </c>
      <c r="B916" s="21" t="n">
        <v>45936</v>
      </c>
      <c r="C916" s="20" t="s">
        <v>486</v>
      </c>
      <c r="D916" s="20" t="s">
        <v>59</v>
      </c>
      <c r="E916" s="20" t="s">
        <v>92</v>
      </c>
      <c r="F916" s="20" t="s">
        <v>196</v>
      </c>
      <c r="G916" s="20" t="n">
        <v>1</v>
      </c>
      <c r="H916" s="20" t="s">
        <v>220</v>
      </c>
      <c r="I916" s="20" t="s">
        <v>50</v>
      </c>
    </row>
    <row r="917" customFormat="false" ht="15" hidden="false" customHeight="false" outlineLevel="0" collapsed="false">
      <c r="A917" s="20" t="s">
        <v>1661</v>
      </c>
      <c r="B917" s="20" t="s">
        <v>1662</v>
      </c>
      <c r="C917" s="20" t="s">
        <v>239</v>
      </c>
      <c r="D917" s="20" t="s">
        <v>65</v>
      </c>
      <c r="E917" s="20" t="s">
        <v>120</v>
      </c>
      <c r="F917" s="20" t="s">
        <v>121</v>
      </c>
      <c r="G917" s="20" t="n">
        <v>1</v>
      </c>
      <c r="H917" s="20" t="n">
        <v>21</v>
      </c>
      <c r="I917" s="20" t="s">
        <v>50</v>
      </c>
    </row>
    <row r="918" customFormat="false" ht="15" hidden="false" customHeight="false" outlineLevel="0" collapsed="false">
      <c r="A918" s="20" t="s">
        <v>1303</v>
      </c>
      <c r="B918" s="20" t="s">
        <v>206</v>
      </c>
      <c r="C918" s="20"/>
      <c r="D918" s="20" t="s">
        <v>109</v>
      </c>
      <c r="E918" s="20" t="s">
        <v>48</v>
      </c>
      <c r="F918" s="20" t="s">
        <v>144</v>
      </c>
      <c r="G918" s="20" t="n">
        <v>3</v>
      </c>
      <c r="H918" s="20" t="n">
        <v>54</v>
      </c>
      <c r="I918" s="20" t="s">
        <v>50</v>
      </c>
    </row>
    <row r="919" customFormat="false" ht="15" hidden="false" customHeight="false" outlineLevel="0" collapsed="false">
      <c r="A919" s="20" t="s">
        <v>1663</v>
      </c>
      <c r="B919" s="20" t="s">
        <v>1404</v>
      </c>
      <c r="C919" s="20" t="s">
        <v>174</v>
      </c>
      <c r="D919" s="20" t="s">
        <v>59</v>
      </c>
      <c r="E919" s="20" t="s">
        <v>297</v>
      </c>
      <c r="F919" s="20" t="s">
        <v>121</v>
      </c>
      <c r="G919" s="20" t="n">
        <v>2</v>
      </c>
      <c r="H919" s="20" t="n">
        <v>21</v>
      </c>
      <c r="I919" s="20" t="s">
        <v>50</v>
      </c>
    </row>
    <row r="920" customFormat="false" ht="15" hidden="false" customHeight="false" outlineLevel="0" collapsed="false">
      <c r="A920" s="20" t="s">
        <v>1664</v>
      </c>
      <c r="B920" s="20" t="s">
        <v>1104</v>
      </c>
      <c r="C920" s="20" t="s">
        <v>97</v>
      </c>
      <c r="D920" s="20" t="s">
        <v>47</v>
      </c>
      <c r="E920" s="20" t="s">
        <v>110</v>
      </c>
      <c r="F920" s="20" t="s">
        <v>111</v>
      </c>
      <c r="G920" s="20" t="n">
        <v>3</v>
      </c>
      <c r="H920" s="20" t="n">
        <v>16</v>
      </c>
      <c r="I920" s="20" t="s">
        <v>50</v>
      </c>
    </row>
    <row r="921" customFormat="false" ht="15" hidden="false" customHeight="false" outlineLevel="0" collapsed="false">
      <c r="A921" s="20" t="s">
        <v>1133</v>
      </c>
      <c r="B921" s="20" t="s">
        <v>541</v>
      </c>
      <c r="C921" s="20" t="s">
        <v>58</v>
      </c>
      <c r="D921" s="20" t="s">
        <v>47</v>
      </c>
      <c r="E921" s="20" t="s">
        <v>101</v>
      </c>
      <c r="F921" s="20" t="s">
        <v>144</v>
      </c>
      <c r="G921" s="20" t="n">
        <v>1</v>
      </c>
      <c r="H921" s="20" t="n">
        <v>54</v>
      </c>
      <c r="I921" s="20" t="s">
        <v>50</v>
      </c>
    </row>
    <row r="922" customFormat="false" ht="15" hidden="false" customHeight="false" outlineLevel="0" collapsed="false">
      <c r="A922" s="20" t="s">
        <v>1665</v>
      </c>
      <c r="B922" s="21" t="n">
        <v>45870</v>
      </c>
      <c r="C922" s="20" t="s">
        <v>245</v>
      </c>
      <c r="D922" s="20" t="s">
        <v>70</v>
      </c>
      <c r="E922" s="20" t="s">
        <v>372</v>
      </c>
      <c r="F922" s="20" t="s">
        <v>111</v>
      </c>
      <c r="G922" s="20" t="n">
        <v>1</v>
      </c>
      <c r="H922" s="20" t="n">
        <v>16</v>
      </c>
      <c r="I922" s="20" t="s">
        <v>199</v>
      </c>
    </row>
    <row r="923" customFormat="false" ht="15" hidden="false" customHeight="false" outlineLevel="0" collapsed="false">
      <c r="A923" s="20" t="s">
        <v>1666</v>
      </c>
      <c r="B923" s="21" t="n">
        <v>45754</v>
      </c>
      <c r="C923" s="20" t="s">
        <v>690</v>
      </c>
      <c r="D923" s="20" t="s">
        <v>47</v>
      </c>
      <c r="E923" s="20" t="s">
        <v>292</v>
      </c>
      <c r="F923" s="20" t="s">
        <v>76</v>
      </c>
      <c r="G923" s="20" t="n">
        <v>2</v>
      </c>
      <c r="H923" s="20" t="n">
        <v>32</v>
      </c>
      <c r="I923" s="20" t="s">
        <v>50</v>
      </c>
    </row>
    <row r="924" customFormat="false" ht="15" hidden="false" customHeight="false" outlineLevel="0" collapsed="false">
      <c r="A924" s="20" t="s">
        <v>1667</v>
      </c>
      <c r="B924" s="20" t="s">
        <v>887</v>
      </c>
      <c r="C924" s="20" t="s">
        <v>719</v>
      </c>
      <c r="D924" s="20" t="s">
        <v>59</v>
      </c>
      <c r="E924" s="20" t="s">
        <v>48</v>
      </c>
      <c r="F924" s="20" t="s">
        <v>144</v>
      </c>
      <c r="G924" s="20" t="n">
        <v>1</v>
      </c>
      <c r="H924" s="20" t="n">
        <v>54</v>
      </c>
      <c r="I924" s="20" t="s">
        <v>50</v>
      </c>
    </row>
    <row r="925" customFormat="false" ht="15" hidden="false" customHeight="false" outlineLevel="0" collapsed="false">
      <c r="A925" s="20" t="s">
        <v>1668</v>
      </c>
      <c r="B925" s="20" t="s">
        <v>855</v>
      </c>
      <c r="C925" s="20" t="s">
        <v>380</v>
      </c>
      <c r="D925" s="20" t="s">
        <v>47</v>
      </c>
      <c r="E925" s="20" t="s">
        <v>92</v>
      </c>
      <c r="F925" s="20" t="s">
        <v>93</v>
      </c>
      <c r="G925" s="20" t="n">
        <v>4</v>
      </c>
      <c r="H925" s="20" t="n">
        <v>15</v>
      </c>
      <c r="I925" s="20" t="s">
        <v>50</v>
      </c>
    </row>
    <row r="926" customFormat="false" ht="15" hidden="false" customHeight="false" outlineLevel="0" collapsed="false">
      <c r="A926" s="20" t="s">
        <v>1669</v>
      </c>
      <c r="B926" s="20" t="s">
        <v>1670</v>
      </c>
      <c r="C926" s="20" t="s">
        <v>64</v>
      </c>
      <c r="D926" s="20" t="s">
        <v>47</v>
      </c>
      <c r="E926" s="20" t="s">
        <v>60</v>
      </c>
      <c r="F926" s="20" t="s">
        <v>82</v>
      </c>
      <c r="G926" s="20" t="n">
        <v>1</v>
      </c>
      <c r="H926" s="20" t="n">
        <v>22</v>
      </c>
      <c r="I926" s="20" t="s">
        <v>112</v>
      </c>
    </row>
    <row r="927" customFormat="false" ht="15" hidden="false" customHeight="false" outlineLevel="0" collapsed="false">
      <c r="A927" s="20" t="s">
        <v>1671</v>
      </c>
      <c r="B927" s="21" t="n">
        <v>45935</v>
      </c>
      <c r="C927" s="20" t="s">
        <v>634</v>
      </c>
      <c r="D927" s="20" t="s">
        <v>171</v>
      </c>
      <c r="E927" s="20" t="s">
        <v>71</v>
      </c>
      <c r="F927" s="20" t="s">
        <v>55</v>
      </c>
      <c r="G927" s="20" t="n">
        <v>2</v>
      </c>
      <c r="H927" s="20" t="n">
        <v>38</v>
      </c>
      <c r="I927" s="20" t="s">
        <v>50</v>
      </c>
    </row>
    <row r="928" customFormat="false" ht="15" hidden="false" customHeight="false" outlineLevel="0" collapsed="false">
      <c r="A928" s="20" t="s">
        <v>1672</v>
      </c>
      <c r="B928" s="21" t="n">
        <v>46009</v>
      </c>
      <c r="C928" s="20" t="s">
        <v>286</v>
      </c>
      <c r="D928" s="20" t="s">
        <v>282</v>
      </c>
      <c r="E928" s="20" t="s">
        <v>207</v>
      </c>
      <c r="F928" s="20" t="s">
        <v>93</v>
      </c>
      <c r="G928" s="20" t="n">
        <v>1</v>
      </c>
      <c r="H928" s="20" t="n">
        <v>15</v>
      </c>
      <c r="I928" s="20" t="s">
        <v>163</v>
      </c>
    </row>
    <row r="929" customFormat="false" ht="15" hidden="false" customHeight="false" outlineLevel="0" collapsed="false">
      <c r="A929" s="20" t="s">
        <v>1673</v>
      </c>
      <c r="B929" s="20" t="s">
        <v>1674</v>
      </c>
      <c r="C929" s="20" t="s">
        <v>412</v>
      </c>
      <c r="D929" s="20" t="s">
        <v>47</v>
      </c>
      <c r="E929" s="20" t="s">
        <v>81</v>
      </c>
      <c r="F929" s="20" t="s">
        <v>61</v>
      </c>
      <c r="G929" s="20" t="n">
        <v>1</v>
      </c>
      <c r="H929" s="20" t="n">
        <v>35</v>
      </c>
      <c r="I929" s="20" t="s">
        <v>50</v>
      </c>
    </row>
    <row r="930" customFormat="false" ht="15" hidden="false" customHeight="false" outlineLevel="0" collapsed="false">
      <c r="A930" s="20" t="s">
        <v>1675</v>
      </c>
      <c r="B930" s="20" t="s">
        <v>1676</v>
      </c>
      <c r="C930" s="20" t="s">
        <v>323</v>
      </c>
      <c r="D930" s="20" t="s">
        <v>157</v>
      </c>
      <c r="E930" s="20" t="s">
        <v>110</v>
      </c>
      <c r="F930" s="20" t="s">
        <v>111</v>
      </c>
      <c r="G930" s="20" t="n">
        <v>1</v>
      </c>
      <c r="H930" s="20" t="n">
        <v>16</v>
      </c>
      <c r="I930" s="20" t="s">
        <v>50</v>
      </c>
    </row>
    <row r="931" customFormat="false" ht="15" hidden="false" customHeight="false" outlineLevel="0" collapsed="false">
      <c r="A931" s="20" t="s">
        <v>1677</v>
      </c>
      <c r="B931" s="21" t="n">
        <v>45918</v>
      </c>
      <c r="C931" s="20" t="s">
        <v>483</v>
      </c>
      <c r="D931" s="20" t="s">
        <v>752</v>
      </c>
      <c r="E931" s="20" t="s">
        <v>48</v>
      </c>
      <c r="F931" s="20" t="s">
        <v>49</v>
      </c>
      <c r="G931" s="20" t="n">
        <v>3</v>
      </c>
      <c r="H931" s="20" t="n">
        <v>18</v>
      </c>
      <c r="I931" s="20" t="s">
        <v>50</v>
      </c>
    </row>
    <row r="932" customFormat="false" ht="15" hidden="false" customHeight="false" outlineLevel="0" collapsed="false">
      <c r="A932" s="20" t="s">
        <v>1289</v>
      </c>
      <c r="B932" s="20" t="s">
        <v>1290</v>
      </c>
      <c r="C932" s="20" t="s">
        <v>1136</v>
      </c>
      <c r="D932" s="20" t="s">
        <v>47</v>
      </c>
      <c r="E932" s="20" t="s">
        <v>92</v>
      </c>
      <c r="F932" s="20" t="s">
        <v>105</v>
      </c>
      <c r="G932" s="20" t="n">
        <v>2</v>
      </c>
      <c r="H932" s="20" t="n">
        <v>49</v>
      </c>
      <c r="I932" s="20" t="s">
        <v>50</v>
      </c>
    </row>
    <row r="933" customFormat="false" ht="15" hidden="false" customHeight="false" outlineLevel="0" collapsed="false">
      <c r="A933" s="20" t="s">
        <v>1678</v>
      </c>
      <c r="B933" s="20" t="s">
        <v>1679</v>
      </c>
      <c r="C933" s="20" t="s">
        <v>192</v>
      </c>
      <c r="D933" s="20" t="s">
        <v>47</v>
      </c>
      <c r="E933" s="20" t="s">
        <v>292</v>
      </c>
      <c r="F933" s="20" t="s">
        <v>55</v>
      </c>
      <c r="G933" s="20" t="n">
        <v>2</v>
      </c>
      <c r="H933" s="20" t="n">
        <v>38</v>
      </c>
      <c r="I933" s="20" t="s">
        <v>50</v>
      </c>
    </row>
    <row r="934" customFormat="false" ht="15" hidden="false" customHeight="false" outlineLevel="0" collapsed="false">
      <c r="A934" s="20" t="s">
        <v>1680</v>
      </c>
      <c r="B934" s="20" t="s">
        <v>1112</v>
      </c>
      <c r="C934" s="20" t="s">
        <v>357</v>
      </c>
      <c r="D934" s="20" t="s">
        <v>59</v>
      </c>
      <c r="E934" s="20" t="s">
        <v>92</v>
      </c>
      <c r="F934" s="20" t="s">
        <v>93</v>
      </c>
      <c r="G934" s="20" t="n">
        <v>1</v>
      </c>
      <c r="H934" s="20" t="n">
        <v>15</v>
      </c>
      <c r="I934" s="20" t="s">
        <v>163</v>
      </c>
    </row>
    <row r="935" customFormat="false" ht="15" hidden="false" customHeight="false" outlineLevel="0" collapsed="false">
      <c r="A935" s="20" t="s">
        <v>1681</v>
      </c>
      <c r="B935" s="20" t="s">
        <v>1682</v>
      </c>
      <c r="C935" s="20" t="s">
        <v>338</v>
      </c>
      <c r="D935" s="20" t="s">
        <v>47</v>
      </c>
      <c r="E935" s="20" t="s">
        <v>81</v>
      </c>
      <c r="F935" s="20" t="s">
        <v>82</v>
      </c>
      <c r="G935" s="20" t="n">
        <v>1</v>
      </c>
      <c r="H935" s="20" t="s">
        <v>154</v>
      </c>
      <c r="I935" s="20" t="s">
        <v>50</v>
      </c>
    </row>
    <row r="936" customFormat="false" ht="15" hidden="false" customHeight="false" outlineLevel="0" collapsed="false">
      <c r="A936" s="20" t="s">
        <v>1683</v>
      </c>
      <c r="B936" s="21" t="n">
        <v>45802</v>
      </c>
      <c r="C936" s="20" t="s">
        <v>332</v>
      </c>
      <c r="D936" s="20" t="s">
        <v>752</v>
      </c>
      <c r="E936" s="20" t="s">
        <v>54</v>
      </c>
      <c r="F936" s="20" t="s">
        <v>76</v>
      </c>
      <c r="G936" s="20" t="n">
        <v>1</v>
      </c>
      <c r="H936" s="20" t="n">
        <v>32</v>
      </c>
      <c r="I936" s="20" t="s">
        <v>50</v>
      </c>
    </row>
    <row r="937" customFormat="false" ht="15" hidden="false" customHeight="false" outlineLevel="0" collapsed="false">
      <c r="A937" s="20" t="s">
        <v>1684</v>
      </c>
      <c r="B937" s="20" t="s">
        <v>640</v>
      </c>
      <c r="C937" s="20" t="s">
        <v>380</v>
      </c>
      <c r="D937" s="20" t="s">
        <v>59</v>
      </c>
      <c r="E937" s="20" t="s">
        <v>92</v>
      </c>
      <c r="F937" s="20" t="s">
        <v>196</v>
      </c>
      <c r="G937" s="20" t="n">
        <v>2</v>
      </c>
      <c r="H937" s="20" t="n">
        <v>89</v>
      </c>
      <c r="I937" s="20" t="s">
        <v>50</v>
      </c>
    </row>
    <row r="938" customFormat="false" ht="15" hidden="false" customHeight="false" outlineLevel="0" collapsed="false">
      <c r="A938" s="20" t="s">
        <v>1685</v>
      </c>
      <c r="B938" s="21" t="n">
        <v>45682</v>
      </c>
      <c r="C938" s="20" t="s">
        <v>192</v>
      </c>
      <c r="D938" s="20" t="s">
        <v>59</v>
      </c>
      <c r="E938" s="20" t="s">
        <v>48</v>
      </c>
      <c r="F938" s="20" t="s">
        <v>144</v>
      </c>
      <c r="G938" s="20" t="n">
        <v>2</v>
      </c>
      <c r="H938" s="20" t="n">
        <v>54</v>
      </c>
      <c r="I938" s="20" t="s">
        <v>50</v>
      </c>
    </row>
    <row r="939" customFormat="false" ht="15" hidden="false" customHeight="false" outlineLevel="0" collapsed="false">
      <c r="A939" s="20" t="s">
        <v>1686</v>
      </c>
      <c r="B939" s="20" t="s">
        <v>1406</v>
      </c>
      <c r="C939" s="20" t="s">
        <v>272</v>
      </c>
      <c r="D939" s="20" t="s">
        <v>65</v>
      </c>
      <c r="E939" s="20" t="s">
        <v>54</v>
      </c>
      <c r="F939" s="20" t="s">
        <v>72</v>
      </c>
      <c r="G939" s="20" t="n">
        <v>1</v>
      </c>
      <c r="H939" s="20" t="n">
        <v>24</v>
      </c>
      <c r="I939" s="20" t="s">
        <v>50</v>
      </c>
    </row>
    <row r="940" customFormat="false" ht="15" hidden="false" customHeight="false" outlineLevel="0" collapsed="false">
      <c r="A940" s="20" t="s">
        <v>1687</v>
      </c>
      <c r="B940" s="21" t="n">
        <v>45881</v>
      </c>
      <c r="C940" s="20" t="s">
        <v>424</v>
      </c>
      <c r="D940" s="20" t="s">
        <v>47</v>
      </c>
      <c r="E940" s="20" t="s">
        <v>48</v>
      </c>
      <c r="F940" s="20" t="s">
        <v>144</v>
      </c>
      <c r="G940" s="20" t="n">
        <v>1</v>
      </c>
      <c r="H940" s="20" t="s">
        <v>229</v>
      </c>
      <c r="I940" s="20" t="s">
        <v>50</v>
      </c>
    </row>
    <row r="941" customFormat="false" ht="15" hidden="false" customHeight="false" outlineLevel="0" collapsed="false">
      <c r="A941" s="20" t="s">
        <v>883</v>
      </c>
      <c r="B941" s="21" t="n">
        <v>45896</v>
      </c>
      <c r="C941" s="20" t="s">
        <v>380</v>
      </c>
      <c r="D941" s="20" t="s">
        <v>70</v>
      </c>
      <c r="E941" s="20" t="s">
        <v>60</v>
      </c>
      <c r="F941" s="20" t="s">
        <v>82</v>
      </c>
      <c r="G941" s="20" t="n">
        <v>2</v>
      </c>
      <c r="H941" s="20" t="n">
        <v>22</v>
      </c>
      <c r="I941" s="20" t="s">
        <v>50</v>
      </c>
    </row>
    <row r="942" customFormat="false" ht="15" hidden="false" customHeight="false" outlineLevel="0" collapsed="false">
      <c r="A942" s="20" t="s">
        <v>1688</v>
      </c>
      <c r="B942" s="20" t="s">
        <v>1399</v>
      </c>
      <c r="C942" s="20" t="s">
        <v>531</v>
      </c>
      <c r="D942" s="20" t="s">
        <v>109</v>
      </c>
      <c r="E942" s="20" t="s">
        <v>110</v>
      </c>
      <c r="F942" s="20" t="s">
        <v>236</v>
      </c>
      <c r="G942" s="20" t="n">
        <v>1</v>
      </c>
      <c r="H942" s="20" t="n">
        <v>30</v>
      </c>
      <c r="I942" s="20" t="s">
        <v>50</v>
      </c>
    </row>
    <row r="943" customFormat="false" ht="15" hidden="false" customHeight="false" outlineLevel="0" collapsed="false">
      <c r="A943" s="20" t="s">
        <v>1689</v>
      </c>
      <c r="B943" s="20" t="s">
        <v>1690</v>
      </c>
      <c r="C943" s="20" t="s">
        <v>1010</v>
      </c>
      <c r="D943" s="20" t="s">
        <v>47</v>
      </c>
      <c r="E943" s="20" t="s">
        <v>81</v>
      </c>
      <c r="F943" s="20" t="s">
        <v>67</v>
      </c>
      <c r="G943" s="20" t="n">
        <v>1</v>
      </c>
      <c r="H943" s="20" t="n">
        <v>45</v>
      </c>
      <c r="I943" s="20" t="s">
        <v>50</v>
      </c>
    </row>
    <row r="944" customFormat="false" ht="15" hidden="false" customHeight="false" outlineLevel="0" collapsed="false">
      <c r="A944" s="20" t="s">
        <v>1691</v>
      </c>
      <c r="B944" s="20" t="s">
        <v>1692</v>
      </c>
      <c r="C944" s="20" t="s">
        <v>380</v>
      </c>
      <c r="D944" s="20" t="s">
        <v>87</v>
      </c>
      <c r="E944" s="20" t="s">
        <v>81</v>
      </c>
      <c r="F944" s="20" t="s">
        <v>82</v>
      </c>
      <c r="G944" s="20" t="n">
        <v>1</v>
      </c>
      <c r="H944" s="20" t="n">
        <v>22</v>
      </c>
      <c r="I944" s="20" t="s">
        <v>112</v>
      </c>
    </row>
    <row r="945" customFormat="false" ht="15" hidden="false" customHeight="false" outlineLevel="0" collapsed="false">
      <c r="A945" s="20" t="s">
        <v>1693</v>
      </c>
      <c r="B945" s="21" t="n">
        <v>45888</v>
      </c>
      <c r="C945" s="20"/>
      <c r="D945" s="20" t="s">
        <v>222</v>
      </c>
      <c r="E945" s="20" t="s">
        <v>54</v>
      </c>
      <c r="F945" s="20" t="s">
        <v>55</v>
      </c>
      <c r="G945" s="20" t="n">
        <v>3</v>
      </c>
      <c r="H945" s="20" t="s">
        <v>259</v>
      </c>
      <c r="I945" s="20" t="s">
        <v>50</v>
      </c>
    </row>
    <row r="946" customFormat="false" ht="15" hidden="false" customHeight="false" outlineLevel="0" collapsed="false">
      <c r="A946" s="20" t="s">
        <v>981</v>
      </c>
      <c r="B946" s="20" t="s">
        <v>982</v>
      </c>
      <c r="C946" s="20" t="s">
        <v>983</v>
      </c>
      <c r="D946" s="20" t="s">
        <v>157</v>
      </c>
      <c r="E946" s="20" t="s">
        <v>81</v>
      </c>
      <c r="F946" s="20" t="s">
        <v>67</v>
      </c>
      <c r="G946" s="20" t="n">
        <v>1</v>
      </c>
      <c r="H946" s="20" t="n">
        <v>45</v>
      </c>
      <c r="I946" s="2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2" min="11" style="0" width="12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22" t="s">
        <v>1694</v>
      </c>
      <c r="B1" s="22" t="s">
        <v>1695</v>
      </c>
      <c r="C1" s="22" t="s">
        <v>1696</v>
      </c>
      <c r="D1" s="22" t="s">
        <v>1697</v>
      </c>
      <c r="E1" s="22" t="s">
        <v>2</v>
      </c>
      <c r="F1" s="22" t="s">
        <v>4</v>
      </c>
      <c r="G1" s="22" t="s">
        <v>1698</v>
      </c>
      <c r="H1" s="22" t="s">
        <v>1699</v>
      </c>
      <c r="I1" s="22" t="s">
        <v>1700</v>
      </c>
      <c r="J1" s="22" t="s">
        <v>1701</v>
      </c>
      <c r="K1" s="22" t="s">
        <v>1702</v>
      </c>
      <c r="L1" s="22" t="s">
        <v>1703</v>
      </c>
      <c r="M1" s="22" t="s">
        <v>1704</v>
      </c>
    </row>
    <row r="2" customFormat="false" ht="15" hidden="false" customHeight="false" outlineLevel="0" collapsed="false">
      <c r="A2" s="20" t="s">
        <v>51</v>
      </c>
      <c r="B2" s="23" t="n">
        <v>45658</v>
      </c>
      <c r="C2" s="20" t="n">
        <f aca="false">MONTH(B2)</f>
        <v>1</v>
      </c>
      <c r="D2" s="20" t="s">
        <v>52</v>
      </c>
      <c r="E2" s="20" t="s">
        <v>59</v>
      </c>
      <c r="F2" s="20" t="s">
        <v>54</v>
      </c>
      <c r="G2" s="20" t="s">
        <v>55</v>
      </c>
      <c r="H2" s="20" t="n">
        <v>1</v>
      </c>
      <c r="I2" s="24" t="n">
        <v>38</v>
      </c>
      <c r="J2" s="24" t="n">
        <v>16</v>
      </c>
      <c r="K2" s="24" t="n">
        <f aca="false">H2*I2</f>
        <v>38</v>
      </c>
      <c r="L2" s="24" t="n">
        <f aca="false">K2-H2*J2</f>
        <v>22</v>
      </c>
      <c r="M2" s="20" t="s">
        <v>50</v>
      </c>
    </row>
    <row r="3" customFormat="false" ht="15" hidden="false" customHeight="false" outlineLevel="0" collapsed="false">
      <c r="A3" s="20" t="s">
        <v>672</v>
      </c>
      <c r="B3" s="23" t="n">
        <v>45658</v>
      </c>
      <c r="C3" s="20" t="n">
        <f aca="false">MONTH(B3)</f>
        <v>1</v>
      </c>
      <c r="D3" s="20" t="s">
        <v>367</v>
      </c>
      <c r="E3" s="20" t="s">
        <v>47</v>
      </c>
      <c r="F3" s="20" t="s">
        <v>54</v>
      </c>
      <c r="G3" s="20" t="s">
        <v>55</v>
      </c>
      <c r="H3" s="20" t="n">
        <v>1</v>
      </c>
      <c r="I3" s="24" t="n">
        <v>38</v>
      </c>
      <c r="J3" s="24" t="n">
        <v>16</v>
      </c>
      <c r="K3" s="24" t="n">
        <f aca="false">H3*I3</f>
        <v>38</v>
      </c>
      <c r="L3" s="24" t="n">
        <f aca="false">K3-H3*J3</f>
        <v>22</v>
      </c>
      <c r="M3" s="20" t="s">
        <v>50</v>
      </c>
    </row>
    <row r="4" customFormat="false" ht="15" hidden="false" customHeight="false" outlineLevel="0" collapsed="false">
      <c r="A4" s="20" t="s">
        <v>484</v>
      </c>
      <c r="B4" s="23" t="n">
        <v>45659</v>
      </c>
      <c r="C4" s="20" t="n">
        <f aca="false">MONTH(B4)</f>
        <v>1</v>
      </c>
      <c r="D4" s="20" t="s">
        <v>424</v>
      </c>
      <c r="E4" s="20" t="s">
        <v>47</v>
      </c>
      <c r="F4" s="20" t="s">
        <v>81</v>
      </c>
      <c r="G4" s="20" t="s">
        <v>67</v>
      </c>
      <c r="H4" s="20" t="n">
        <v>4</v>
      </c>
      <c r="I4" s="24" t="n">
        <v>45</v>
      </c>
      <c r="J4" s="24" t="n">
        <v>17</v>
      </c>
      <c r="K4" s="24" t="n">
        <f aca="false">H4*I4</f>
        <v>180</v>
      </c>
      <c r="L4" s="24" t="n">
        <f aca="false">K4-H4*J4</f>
        <v>112</v>
      </c>
      <c r="M4" s="20" t="s">
        <v>50</v>
      </c>
    </row>
    <row r="5" customFormat="false" ht="15" hidden="false" customHeight="false" outlineLevel="0" collapsed="false">
      <c r="A5" s="20" t="s">
        <v>1260</v>
      </c>
      <c r="B5" s="23" t="n">
        <v>45659</v>
      </c>
      <c r="C5" s="20" t="n">
        <f aca="false">MONTH(B5)</f>
        <v>1</v>
      </c>
      <c r="D5" s="20" t="s">
        <v>578</v>
      </c>
      <c r="E5" s="20" t="s">
        <v>47</v>
      </c>
      <c r="F5" s="20" t="s">
        <v>92</v>
      </c>
      <c r="G5" s="20" t="s">
        <v>93</v>
      </c>
      <c r="H5" s="20" t="n">
        <v>4</v>
      </c>
      <c r="I5" s="24" t="n">
        <v>15</v>
      </c>
      <c r="J5" s="24" t="n">
        <v>5</v>
      </c>
      <c r="K5" s="24" t="n">
        <f aca="false">H5*I5</f>
        <v>60</v>
      </c>
      <c r="L5" s="24" t="n">
        <f aca="false">K5-H5*J5</f>
        <v>40</v>
      </c>
      <c r="M5" s="20" t="s">
        <v>50</v>
      </c>
    </row>
    <row r="6" customFormat="false" ht="15" hidden="false" customHeight="false" outlineLevel="0" collapsed="false">
      <c r="A6" s="20" t="s">
        <v>333</v>
      </c>
      <c r="B6" s="23" t="n">
        <v>45659</v>
      </c>
      <c r="C6" s="20" t="n">
        <f aca="false">MONTH(B6)</f>
        <v>1</v>
      </c>
      <c r="D6" s="20" t="s">
        <v>335</v>
      </c>
      <c r="E6" s="20" t="s">
        <v>109</v>
      </c>
      <c r="F6" s="20" t="s">
        <v>92</v>
      </c>
      <c r="G6" s="20" t="s">
        <v>93</v>
      </c>
      <c r="H6" s="20" t="n">
        <v>1</v>
      </c>
      <c r="I6" s="24" t="n">
        <v>15</v>
      </c>
      <c r="J6" s="24" t="n">
        <v>5</v>
      </c>
      <c r="K6" s="24" t="n">
        <f aca="false">H6*I6</f>
        <v>15</v>
      </c>
      <c r="L6" s="24" t="n">
        <f aca="false">K6-H6*J6</f>
        <v>10</v>
      </c>
      <c r="M6" s="20" t="s">
        <v>50</v>
      </c>
    </row>
    <row r="7" customFormat="false" ht="15" hidden="false" customHeight="false" outlineLevel="0" collapsed="false">
      <c r="A7" s="20" t="s">
        <v>622</v>
      </c>
      <c r="B7" s="23" t="n">
        <v>45659</v>
      </c>
      <c r="C7" s="20" t="n">
        <f aca="false">MONTH(B7)</f>
        <v>1</v>
      </c>
      <c r="D7" s="20" t="s">
        <v>624</v>
      </c>
      <c r="E7" s="20" t="s">
        <v>65</v>
      </c>
      <c r="F7" s="20" t="s">
        <v>48</v>
      </c>
      <c r="G7" s="20" t="s">
        <v>116</v>
      </c>
      <c r="H7" s="20" t="n">
        <v>1</v>
      </c>
      <c r="I7" s="24" t="n">
        <v>28</v>
      </c>
      <c r="J7" s="24" t="n">
        <v>9</v>
      </c>
      <c r="K7" s="24" t="n">
        <f aca="false">H7*I7</f>
        <v>28</v>
      </c>
      <c r="L7" s="24" t="n">
        <f aca="false">K7-H7*J7</f>
        <v>19</v>
      </c>
      <c r="M7" s="20" t="s">
        <v>50</v>
      </c>
    </row>
    <row r="8" customFormat="false" ht="15" hidden="false" customHeight="false" outlineLevel="0" collapsed="false">
      <c r="A8" s="20" t="s">
        <v>671</v>
      </c>
      <c r="B8" s="23" t="n">
        <v>45659</v>
      </c>
      <c r="C8" s="20" t="n">
        <f aca="false">MONTH(B8)</f>
        <v>1</v>
      </c>
      <c r="D8" s="20" t="s">
        <v>156</v>
      </c>
      <c r="E8" s="20" t="s">
        <v>59</v>
      </c>
      <c r="F8" s="20" t="s">
        <v>81</v>
      </c>
      <c r="G8" s="20" t="s">
        <v>67</v>
      </c>
      <c r="H8" s="20" t="n">
        <v>1</v>
      </c>
      <c r="I8" s="24" t="n">
        <v>45</v>
      </c>
      <c r="J8" s="24" t="n">
        <v>17</v>
      </c>
      <c r="K8" s="24" t="n">
        <f aca="false">H8*I8</f>
        <v>45</v>
      </c>
      <c r="L8" s="24" t="n">
        <f aca="false">K8-H8*J8</f>
        <v>28</v>
      </c>
      <c r="M8" s="20" t="s">
        <v>50</v>
      </c>
    </row>
    <row r="9" customFormat="false" ht="15" hidden="false" customHeight="false" outlineLevel="0" collapsed="false">
      <c r="A9" s="20" t="s">
        <v>1469</v>
      </c>
      <c r="B9" s="23" t="n">
        <v>45659</v>
      </c>
      <c r="C9" s="20" t="n">
        <f aca="false">MONTH(B9)</f>
        <v>1</v>
      </c>
      <c r="D9" s="20" t="s">
        <v>690</v>
      </c>
      <c r="E9" s="20" t="s">
        <v>47</v>
      </c>
      <c r="F9" s="20" t="s">
        <v>110</v>
      </c>
      <c r="G9" s="20" t="s">
        <v>111</v>
      </c>
      <c r="H9" s="20" t="n">
        <v>4</v>
      </c>
      <c r="I9" s="24" t="n">
        <v>16</v>
      </c>
      <c r="J9" s="24" t="n">
        <v>5</v>
      </c>
      <c r="K9" s="24" t="n">
        <f aca="false">H9*I9</f>
        <v>64</v>
      </c>
      <c r="L9" s="24" t="n">
        <f aca="false">K9-H9*J9</f>
        <v>44</v>
      </c>
      <c r="M9" s="20" t="s">
        <v>50</v>
      </c>
    </row>
    <row r="10" customFormat="false" ht="15" hidden="false" customHeight="false" outlineLevel="0" collapsed="false">
      <c r="A10" s="20" t="s">
        <v>1509</v>
      </c>
      <c r="B10" s="23" t="n">
        <v>45661</v>
      </c>
      <c r="C10" s="20" t="n">
        <f aca="false">MONTH(B10)</f>
        <v>1</v>
      </c>
      <c r="D10" s="20" t="s">
        <v>578</v>
      </c>
      <c r="E10" s="20" t="s">
        <v>47</v>
      </c>
      <c r="F10" s="20" t="s">
        <v>48</v>
      </c>
      <c r="G10" s="20" t="s">
        <v>144</v>
      </c>
      <c r="H10" s="20" t="n">
        <v>1</v>
      </c>
      <c r="I10" s="24" t="n">
        <v>54</v>
      </c>
      <c r="J10" s="24" t="n">
        <v>24</v>
      </c>
      <c r="K10" s="24" t="n">
        <f aca="false">H10*I10</f>
        <v>54</v>
      </c>
      <c r="L10" s="24" t="n">
        <f aca="false">K10-H10*J10</f>
        <v>30</v>
      </c>
      <c r="M10" s="20" t="s">
        <v>112</v>
      </c>
    </row>
    <row r="11" customFormat="false" ht="15" hidden="false" customHeight="false" outlineLevel="0" collapsed="false">
      <c r="A11" s="20" t="s">
        <v>1578</v>
      </c>
      <c r="B11" s="23" t="n">
        <v>45662</v>
      </c>
      <c r="C11" s="20" t="n">
        <f aca="false">MONTH(B11)</f>
        <v>1</v>
      </c>
      <c r="D11" s="20" t="s">
        <v>531</v>
      </c>
      <c r="E11" s="20" t="s">
        <v>59</v>
      </c>
      <c r="F11" s="20" t="s">
        <v>48</v>
      </c>
      <c r="G11" s="20" t="s">
        <v>116</v>
      </c>
      <c r="H11" s="20" t="n">
        <v>1</v>
      </c>
      <c r="I11" s="24" t="n">
        <v>28</v>
      </c>
      <c r="J11" s="24" t="n">
        <v>9</v>
      </c>
      <c r="K11" s="24" t="n">
        <f aca="false">H11*I11</f>
        <v>28</v>
      </c>
      <c r="L11" s="24" t="n">
        <f aca="false">K11-H11*J11</f>
        <v>19</v>
      </c>
      <c r="M11" s="20" t="s">
        <v>50</v>
      </c>
    </row>
    <row r="12" customFormat="false" ht="15" hidden="false" customHeight="false" outlineLevel="0" collapsed="false">
      <c r="A12" s="20" t="s">
        <v>1602</v>
      </c>
      <c r="B12" s="23" t="n">
        <v>45664</v>
      </c>
      <c r="C12" s="20" t="n">
        <f aca="false">MONTH(B12)</f>
        <v>1</v>
      </c>
      <c r="D12" s="20" t="s">
        <v>1010</v>
      </c>
      <c r="E12" s="20" t="s">
        <v>47</v>
      </c>
      <c r="F12" s="20" t="s">
        <v>54</v>
      </c>
      <c r="G12" s="20" t="s">
        <v>76</v>
      </c>
      <c r="H12" s="20" t="n">
        <v>1</v>
      </c>
      <c r="I12" s="24" t="n">
        <v>32</v>
      </c>
      <c r="J12" s="24" t="n">
        <v>13</v>
      </c>
      <c r="K12" s="24" t="n">
        <f aca="false">H12*I12</f>
        <v>32</v>
      </c>
      <c r="L12" s="24" t="n">
        <f aca="false">K12-H12*J12</f>
        <v>19</v>
      </c>
      <c r="M12" s="20" t="s">
        <v>50</v>
      </c>
    </row>
    <row r="13" customFormat="false" ht="15" hidden="false" customHeight="false" outlineLevel="0" collapsed="false">
      <c r="A13" s="20" t="s">
        <v>981</v>
      </c>
      <c r="B13" s="23" t="n">
        <v>45664</v>
      </c>
      <c r="C13" s="20" t="n">
        <f aca="false">MONTH(B13)</f>
        <v>1</v>
      </c>
      <c r="D13" s="20" t="s">
        <v>983</v>
      </c>
      <c r="E13" s="20" t="s">
        <v>47</v>
      </c>
      <c r="F13" s="20" t="s">
        <v>81</v>
      </c>
      <c r="G13" s="20" t="s">
        <v>67</v>
      </c>
      <c r="H13" s="20" t="n">
        <v>1</v>
      </c>
      <c r="I13" s="24" t="n">
        <v>45</v>
      </c>
      <c r="J13" s="24" t="n">
        <v>17</v>
      </c>
      <c r="K13" s="24" t="n">
        <f aca="false">H13*I13</f>
        <v>45</v>
      </c>
      <c r="L13" s="24" t="n">
        <f aca="false">K13-H13*J13</f>
        <v>28</v>
      </c>
      <c r="M13" s="20" t="s">
        <v>50</v>
      </c>
    </row>
    <row r="14" customFormat="false" ht="15" hidden="false" customHeight="false" outlineLevel="0" collapsed="false">
      <c r="A14" s="20" t="s">
        <v>620</v>
      </c>
      <c r="B14" s="23" t="n">
        <v>45664</v>
      </c>
      <c r="C14" s="20" t="n">
        <f aca="false">MONTH(B14)</f>
        <v>1</v>
      </c>
      <c r="D14" s="20" t="s">
        <v>241</v>
      </c>
      <c r="E14" s="20" t="s">
        <v>65</v>
      </c>
      <c r="F14" s="20" t="s">
        <v>48</v>
      </c>
      <c r="G14" s="20" t="s">
        <v>116</v>
      </c>
      <c r="H14" s="20" t="n">
        <v>1</v>
      </c>
      <c r="I14" s="24" t="n">
        <v>28</v>
      </c>
      <c r="J14" s="24" t="n">
        <v>9</v>
      </c>
      <c r="K14" s="24" t="n">
        <f aca="false">H14*I14</f>
        <v>28</v>
      </c>
      <c r="L14" s="24" t="n">
        <f aca="false">K14-H14*J14</f>
        <v>19</v>
      </c>
      <c r="M14" s="20" t="s">
        <v>50</v>
      </c>
    </row>
    <row r="15" customFormat="false" ht="15" hidden="false" customHeight="false" outlineLevel="0" collapsed="false">
      <c r="A15" s="20" t="s">
        <v>1528</v>
      </c>
      <c r="B15" s="23" t="n">
        <v>45664</v>
      </c>
      <c r="C15" s="20" t="n">
        <f aca="false">MONTH(B15)</f>
        <v>1</v>
      </c>
      <c r="D15" s="20" t="s">
        <v>483</v>
      </c>
      <c r="E15" s="20" t="s">
        <v>47</v>
      </c>
      <c r="F15" s="20" t="s">
        <v>54</v>
      </c>
      <c r="G15" s="20" t="s">
        <v>72</v>
      </c>
      <c r="H15" s="20" t="n">
        <v>1</v>
      </c>
      <c r="I15" s="24" t="n">
        <v>24</v>
      </c>
      <c r="J15" s="24" t="n">
        <v>9</v>
      </c>
      <c r="K15" s="24" t="n">
        <f aca="false">H15*I15</f>
        <v>24</v>
      </c>
      <c r="L15" s="24" t="n">
        <f aca="false">K15-H15*J15</f>
        <v>15</v>
      </c>
      <c r="M15" s="20" t="s">
        <v>50</v>
      </c>
    </row>
    <row r="16" customFormat="false" ht="15" hidden="false" customHeight="false" outlineLevel="0" collapsed="false">
      <c r="A16" s="20" t="s">
        <v>641</v>
      </c>
      <c r="B16" s="23" t="n">
        <v>45665</v>
      </c>
      <c r="C16" s="20" t="n">
        <f aca="false">MONTH(B16)</f>
        <v>1</v>
      </c>
      <c r="D16" s="20" t="s">
        <v>377</v>
      </c>
      <c r="E16" s="20" t="s">
        <v>47</v>
      </c>
      <c r="F16" s="20" t="s">
        <v>54</v>
      </c>
      <c r="G16" s="20" t="s">
        <v>76</v>
      </c>
      <c r="H16" s="20" t="n">
        <v>2</v>
      </c>
      <c r="I16" s="24" t="n">
        <v>32</v>
      </c>
      <c r="J16" s="24" t="n">
        <v>13</v>
      </c>
      <c r="K16" s="24" t="n">
        <f aca="false">H16*I16</f>
        <v>64</v>
      </c>
      <c r="L16" s="24" t="n">
        <f aca="false">K16-H16*J16</f>
        <v>38</v>
      </c>
      <c r="M16" s="20" t="s">
        <v>50</v>
      </c>
    </row>
    <row r="17" customFormat="false" ht="15" hidden="false" customHeight="false" outlineLevel="0" collapsed="false">
      <c r="A17" s="20" t="s">
        <v>1389</v>
      </c>
      <c r="B17" s="23" t="n">
        <v>45666</v>
      </c>
      <c r="C17" s="20" t="n">
        <f aca="false">MONTH(B17)</f>
        <v>1</v>
      </c>
      <c r="D17" s="20" t="s">
        <v>129</v>
      </c>
      <c r="E17" s="20" t="s">
        <v>59</v>
      </c>
      <c r="F17" s="20" t="s">
        <v>92</v>
      </c>
      <c r="G17" s="20" t="s">
        <v>105</v>
      </c>
      <c r="H17" s="20" t="n">
        <v>1</v>
      </c>
      <c r="I17" s="24" t="n">
        <v>49</v>
      </c>
      <c r="J17" s="24" t="n">
        <v>22</v>
      </c>
      <c r="K17" s="24" t="n">
        <f aca="false">H17*I17</f>
        <v>49</v>
      </c>
      <c r="L17" s="24" t="n">
        <f aca="false">K17-H17*J17</f>
        <v>27</v>
      </c>
      <c r="M17" s="20" t="s">
        <v>50</v>
      </c>
    </row>
    <row r="18" customFormat="false" ht="15" hidden="false" customHeight="false" outlineLevel="0" collapsed="false">
      <c r="A18" s="20" t="s">
        <v>841</v>
      </c>
      <c r="B18" s="23" t="n">
        <v>45666</v>
      </c>
      <c r="C18" s="20" t="n">
        <f aca="false">MONTH(B18)</f>
        <v>1</v>
      </c>
      <c r="D18" s="20" t="s">
        <v>174</v>
      </c>
      <c r="E18" s="20" t="s">
        <v>65</v>
      </c>
      <c r="F18" s="20" t="s">
        <v>92</v>
      </c>
      <c r="G18" s="20" t="s">
        <v>93</v>
      </c>
      <c r="H18" s="20" t="n">
        <v>2</v>
      </c>
      <c r="I18" s="24" t="n">
        <v>15</v>
      </c>
      <c r="J18" s="24" t="n">
        <v>5</v>
      </c>
      <c r="K18" s="24" t="n">
        <f aca="false">H18*I18</f>
        <v>30</v>
      </c>
      <c r="L18" s="24" t="n">
        <f aca="false">K18-H18*J18</f>
        <v>20</v>
      </c>
      <c r="M18" s="20" t="s">
        <v>50</v>
      </c>
    </row>
    <row r="19" customFormat="false" ht="15" hidden="false" customHeight="false" outlineLevel="0" collapsed="false">
      <c r="A19" s="20" t="s">
        <v>1226</v>
      </c>
      <c r="B19" s="23" t="n">
        <v>45666</v>
      </c>
      <c r="C19" s="20" t="n">
        <f aca="false">MONTH(B19)</f>
        <v>1</v>
      </c>
      <c r="D19" s="20" t="s">
        <v>119</v>
      </c>
      <c r="E19" s="20" t="s">
        <v>109</v>
      </c>
      <c r="F19" s="20" t="s">
        <v>110</v>
      </c>
      <c r="G19" s="20" t="s">
        <v>111</v>
      </c>
      <c r="H19" s="20" t="n">
        <v>2</v>
      </c>
      <c r="I19" s="24" t="n">
        <v>16</v>
      </c>
      <c r="J19" s="24" t="n">
        <v>5</v>
      </c>
      <c r="K19" s="24" t="n">
        <f aca="false">H19*I19</f>
        <v>32</v>
      </c>
      <c r="L19" s="24" t="n">
        <f aca="false">K19-H19*J19</f>
        <v>22</v>
      </c>
      <c r="M19" s="20" t="s">
        <v>50</v>
      </c>
    </row>
    <row r="20" customFormat="false" ht="15" hidden="false" customHeight="false" outlineLevel="0" collapsed="false">
      <c r="A20" s="20" t="s">
        <v>829</v>
      </c>
      <c r="B20" s="23" t="n">
        <v>45666</v>
      </c>
      <c r="C20" s="20" t="n">
        <f aca="false">MONTH(B20)</f>
        <v>1</v>
      </c>
      <c r="D20" s="20" t="s">
        <v>80</v>
      </c>
      <c r="E20" s="20" t="s">
        <v>65</v>
      </c>
      <c r="F20" s="20" t="s">
        <v>81</v>
      </c>
      <c r="G20" s="20" t="s">
        <v>67</v>
      </c>
      <c r="H20" s="20" t="n">
        <v>1</v>
      </c>
      <c r="I20" s="24" t="n">
        <v>45</v>
      </c>
      <c r="J20" s="24" t="n">
        <v>17</v>
      </c>
      <c r="K20" s="24" t="n">
        <f aca="false">H20*I20</f>
        <v>45</v>
      </c>
      <c r="L20" s="24" t="n">
        <f aca="false">K20-H20*J20</f>
        <v>28</v>
      </c>
      <c r="M20" s="20" t="s">
        <v>50</v>
      </c>
    </row>
    <row r="21" customFormat="false" ht="15" hidden="false" customHeight="false" outlineLevel="0" collapsed="false">
      <c r="A21" s="20" t="s">
        <v>1159</v>
      </c>
      <c r="B21" s="23" t="n">
        <v>45667</v>
      </c>
      <c r="C21" s="20" t="n">
        <f aca="false">MONTH(B21)</f>
        <v>1</v>
      </c>
      <c r="D21" s="20" t="s">
        <v>826</v>
      </c>
      <c r="E21" s="20" t="s">
        <v>59</v>
      </c>
      <c r="F21" s="20" t="s">
        <v>81</v>
      </c>
      <c r="G21" s="20" t="s">
        <v>61</v>
      </c>
      <c r="H21" s="20" t="n">
        <v>3</v>
      </c>
      <c r="I21" s="24" t="n">
        <v>35</v>
      </c>
      <c r="J21" s="24" t="n">
        <v>12</v>
      </c>
      <c r="K21" s="24" t="n">
        <f aca="false">H21*I21</f>
        <v>105</v>
      </c>
      <c r="L21" s="24" t="n">
        <f aca="false">K21-H21*J21</f>
        <v>69</v>
      </c>
      <c r="M21" s="20" t="s">
        <v>50</v>
      </c>
    </row>
    <row r="22" customFormat="false" ht="15" hidden="false" customHeight="false" outlineLevel="0" collapsed="false">
      <c r="A22" s="20" t="s">
        <v>666</v>
      </c>
      <c r="B22" s="23" t="n">
        <v>45667</v>
      </c>
      <c r="C22" s="20" t="n">
        <f aca="false">MONTH(B22)</f>
        <v>1</v>
      </c>
      <c r="D22" s="20" t="s">
        <v>86</v>
      </c>
      <c r="E22" s="20" t="s">
        <v>47</v>
      </c>
      <c r="F22" s="20" t="s">
        <v>81</v>
      </c>
      <c r="G22" s="20" t="s">
        <v>67</v>
      </c>
      <c r="H22" s="20" t="n">
        <v>1</v>
      </c>
      <c r="I22" s="24" t="n">
        <v>45</v>
      </c>
      <c r="J22" s="24" t="n">
        <v>17</v>
      </c>
      <c r="K22" s="24" t="n">
        <f aca="false">H22*I22</f>
        <v>45</v>
      </c>
      <c r="L22" s="24" t="n">
        <f aca="false">K22-H22*J22</f>
        <v>28</v>
      </c>
      <c r="M22" s="20" t="s">
        <v>50</v>
      </c>
    </row>
    <row r="23" customFormat="false" ht="15" hidden="false" customHeight="false" outlineLevel="0" collapsed="false">
      <c r="A23" s="20" t="s">
        <v>730</v>
      </c>
      <c r="B23" s="23" t="n">
        <v>45668</v>
      </c>
      <c r="C23" s="20" t="n">
        <f aca="false">MONTH(B23)</f>
        <v>1</v>
      </c>
      <c r="D23" s="20" t="s">
        <v>367</v>
      </c>
      <c r="E23" s="20" t="s">
        <v>47</v>
      </c>
      <c r="F23" s="20" t="s">
        <v>48</v>
      </c>
      <c r="G23" s="20" t="s">
        <v>116</v>
      </c>
      <c r="H23" s="20" t="n">
        <v>2</v>
      </c>
      <c r="I23" s="24" t="n">
        <v>28</v>
      </c>
      <c r="J23" s="24" t="n">
        <v>9</v>
      </c>
      <c r="K23" s="24" t="n">
        <f aca="false">H23*I23</f>
        <v>56</v>
      </c>
      <c r="L23" s="24" t="n">
        <f aca="false">K23-H23*J23</f>
        <v>38</v>
      </c>
      <c r="M23" s="20" t="s">
        <v>50</v>
      </c>
    </row>
    <row r="24" customFormat="false" ht="15" hidden="false" customHeight="false" outlineLevel="0" collapsed="false">
      <c r="A24" s="20" t="s">
        <v>294</v>
      </c>
      <c r="B24" s="23" t="n">
        <v>45669</v>
      </c>
      <c r="C24" s="20" t="n">
        <f aca="false">MONTH(B24)</f>
        <v>1</v>
      </c>
      <c r="D24" s="20" t="s">
        <v>296</v>
      </c>
      <c r="E24" s="20" t="s">
        <v>47</v>
      </c>
      <c r="F24" s="20" t="s">
        <v>110</v>
      </c>
      <c r="G24" s="20" t="s">
        <v>111</v>
      </c>
      <c r="H24" s="20" t="n">
        <v>1</v>
      </c>
      <c r="I24" s="24" t="n">
        <v>16</v>
      </c>
      <c r="J24" s="24" t="n">
        <v>5</v>
      </c>
      <c r="K24" s="24" t="n">
        <f aca="false">H24*I24</f>
        <v>16</v>
      </c>
      <c r="L24" s="24" t="n">
        <f aca="false">K24-H24*J24</f>
        <v>11</v>
      </c>
      <c r="M24" s="20" t="s">
        <v>50</v>
      </c>
    </row>
    <row r="25" customFormat="false" ht="15" hidden="false" customHeight="false" outlineLevel="0" collapsed="false">
      <c r="A25" s="20" t="s">
        <v>360</v>
      </c>
      <c r="B25" s="23" t="n">
        <v>45669</v>
      </c>
      <c r="C25" s="20" t="n">
        <f aca="false">MONTH(B25)</f>
        <v>1</v>
      </c>
      <c r="D25" s="20" t="s">
        <v>362</v>
      </c>
      <c r="E25" s="20" t="s">
        <v>109</v>
      </c>
      <c r="F25" s="20" t="s">
        <v>81</v>
      </c>
      <c r="G25" s="20" t="s">
        <v>82</v>
      </c>
      <c r="H25" s="20" t="n">
        <v>1</v>
      </c>
      <c r="I25" s="24" t="n">
        <v>22</v>
      </c>
      <c r="J25" s="24" t="n">
        <v>8</v>
      </c>
      <c r="K25" s="24" t="n">
        <f aca="false">H25*I25</f>
        <v>22</v>
      </c>
      <c r="L25" s="24" t="n">
        <f aca="false">K25-H25*J25</f>
        <v>14</v>
      </c>
      <c r="M25" s="20" t="s">
        <v>50</v>
      </c>
    </row>
    <row r="26" customFormat="false" ht="15" hidden="false" customHeight="false" outlineLevel="0" collapsed="false">
      <c r="A26" s="20" t="s">
        <v>881</v>
      </c>
      <c r="B26" s="23" t="n">
        <v>45670</v>
      </c>
      <c r="C26" s="20" t="n">
        <f aca="false">MONTH(B26)</f>
        <v>1</v>
      </c>
      <c r="D26" s="20" t="s">
        <v>64</v>
      </c>
      <c r="E26" s="20" t="s">
        <v>109</v>
      </c>
      <c r="F26" s="20" t="s">
        <v>110</v>
      </c>
      <c r="G26" s="20" t="s">
        <v>121</v>
      </c>
      <c r="H26" s="20" t="n">
        <v>1</v>
      </c>
      <c r="I26" s="24" t="n">
        <v>21</v>
      </c>
      <c r="J26" s="24" t="n">
        <v>7</v>
      </c>
      <c r="K26" s="24" t="n">
        <f aca="false">H26*I26</f>
        <v>21</v>
      </c>
      <c r="L26" s="24" t="n">
        <f aca="false">K26-H26*J26</f>
        <v>14</v>
      </c>
      <c r="M26" s="20" t="s">
        <v>50</v>
      </c>
    </row>
    <row r="27" customFormat="false" ht="15" hidden="false" customHeight="false" outlineLevel="0" collapsed="false">
      <c r="A27" s="20" t="s">
        <v>1475</v>
      </c>
      <c r="B27" s="23" t="n">
        <v>45670</v>
      </c>
      <c r="C27" s="20" t="n">
        <f aca="false">MONTH(B27)</f>
        <v>1</v>
      </c>
      <c r="D27" s="20" t="s">
        <v>377</v>
      </c>
      <c r="E27" s="20" t="s">
        <v>59</v>
      </c>
      <c r="F27" s="20" t="s">
        <v>54</v>
      </c>
      <c r="G27" s="20" t="s">
        <v>76</v>
      </c>
      <c r="H27" s="20" t="n">
        <v>1</v>
      </c>
      <c r="I27" s="24" t="n">
        <v>32</v>
      </c>
      <c r="J27" s="24" t="n">
        <v>13</v>
      </c>
      <c r="K27" s="24" t="n">
        <f aca="false">H27*I27</f>
        <v>32</v>
      </c>
      <c r="L27" s="24" t="n">
        <f aca="false">K27-H27*J27</f>
        <v>19</v>
      </c>
      <c r="M27" s="20" t="s">
        <v>50</v>
      </c>
    </row>
    <row r="28" customFormat="false" ht="15" hidden="false" customHeight="false" outlineLevel="0" collapsed="false">
      <c r="A28" s="20" t="s">
        <v>850</v>
      </c>
      <c r="B28" s="23" t="n">
        <v>45671</v>
      </c>
      <c r="C28" s="20" t="n">
        <f aca="false">MONTH(B28)</f>
        <v>1</v>
      </c>
      <c r="D28" s="20" t="s">
        <v>58</v>
      </c>
      <c r="E28" s="20" t="s">
        <v>65</v>
      </c>
      <c r="F28" s="20" t="s">
        <v>92</v>
      </c>
      <c r="G28" s="20" t="s">
        <v>196</v>
      </c>
      <c r="H28" s="20" t="n">
        <v>1</v>
      </c>
      <c r="I28" s="24" t="n">
        <v>89</v>
      </c>
      <c r="J28" s="24" t="n">
        <v>41</v>
      </c>
      <c r="K28" s="24" t="n">
        <f aca="false">H28*I28</f>
        <v>89</v>
      </c>
      <c r="L28" s="24" t="n">
        <f aca="false">K28-H28*J28</f>
        <v>48</v>
      </c>
      <c r="M28" s="20" t="s">
        <v>50</v>
      </c>
    </row>
    <row r="29" customFormat="false" ht="15" hidden="false" customHeight="false" outlineLevel="0" collapsed="false">
      <c r="A29" s="20" t="s">
        <v>685</v>
      </c>
      <c r="B29" s="23" t="n">
        <v>45671</v>
      </c>
      <c r="C29" s="20" t="n">
        <f aca="false">MONTH(B29)</f>
        <v>1</v>
      </c>
      <c r="D29" s="20" t="s">
        <v>278</v>
      </c>
      <c r="E29" s="20" t="s">
        <v>59</v>
      </c>
      <c r="F29" s="20" t="s">
        <v>92</v>
      </c>
      <c r="G29" s="20" t="s">
        <v>105</v>
      </c>
      <c r="H29" s="20" t="n">
        <v>1</v>
      </c>
      <c r="I29" s="24" t="n">
        <v>49</v>
      </c>
      <c r="J29" s="24" t="n">
        <v>22</v>
      </c>
      <c r="K29" s="24" t="n">
        <f aca="false">H29*I29</f>
        <v>49</v>
      </c>
      <c r="L29" s="24" t="n">
        <f aca="false">K29-H29*J29</f>
        <v>27</v>
      </c>
      <c r="M29" s="20" t="s">
        <v>50</v>
      </c>
    </row>
    <row r="30" customFormat="false" ht="15" hidden="false" customHeight="false" outlineLevel="0" collapsed="false">
      <c r="A30" s="20" t="s">
        <v>917</v>
      </c>
      <c r="B30" s="23" t="n">
        <v>45671</v>
      </c>
      <c r="C30" s="20" t="n">
        <f aca="false">MONTH(B30)</f>
        <v>1</v>
      </c>
      <c r="D30" s="20" t="s">
        <v>476</v>
      </c>
      <c r="E30" s="20" t="s">
        <v>47</v>
      </c>
      <c r="F30" s="20" t="s">
        <v>81</v>
      </c>
      <c r="G30" s="20" t="s">
        <v>82</v>
      </c>
      <c r="H30" s="20" t="n">
        <v>1</v>
      </c>
      <c r="I30" s="24" t="n">
        <v>22</v>
      </c>
      <c r="J30" s="24" t="n">
        <v>8</v>
      </c>
      <c r="K30" s="24" t="n">
        <f aca="false">H30*I30</f>
        <v>22</v>
      </c>
      <c r="L30" s="24" t="n">
        <f aca="false">K30-H30*J30</f>
        <v>14</v>
      </c>
      <c r="M30" s="20" t="s">
        <v>50</v>
      </c>
    </row>
    <row r="31" customFormat="false" ht="15" hidden="false" customHeight="false" outlineLevel="0" collapsed="false">
      <c r="A31" s="20" t="s">
        <v>720</v>
      </c>
      <c r="B31" s="23" t="n">
        <v>45672</v>
      </c>
      <c r="C31" s="20" t="n">
        <f aca="false">MONTH(B31)</f>
        <v>1</v>
      </c>
      <c r="D31" s="20" t="s">
        <v>97</v>
      </c>
      <c r="E31" s="20" t="s">
        <v>109</v>
      </c>
      <c r="F31" s="20" t="s">
        <v>92</v>
      </c>
      <c r="G31" s="20" t="s">
        <v>196</v>
      </c>
      <c r="H31" s="20" t="n">
        <v>4</v>
      </c>
      <c r="I31" s="24" t="n">
        <v>89</v>
      </c>
      <c r="J31" s="24" t="n">
        <v>41</v>
      </c>
      <c r="K31" s="24" t="n">
        <f aca="false">H31*I31</f>
        <v>356</v>
      </c>
      <c r="L31" s="24" t="n">
        <f aca="false">K31-H31*J31</f>
        <v>192</v>
      </c>
      <c r="M31" s="20" t="s">
        <v>50</v>
      </c>
    </row>
    <row r="32" customFormat="false" ht="15" hidden="false" customHeight="false" outlineLevel="0" collapsed="false">
      <c r="A32" s="20" t="s">
        <v>678</v>
      </c>
      <c r="B32" s="23" t="n">
        <v>45672</v>
      </c>
      <c r="C32" s="20" t="n">
        <f aca="false">MONTH(B32)</f>
        <v>1</v>
      </c>
      <c r="D32" s="20" t="s">
        <v>119</v>
      </c>
      <c r="E32" s="20" t="s">
        <v>70</v>
      </c>
      <c r="F32" s="20" t="s">
        <v>110</v>
      </c>
      <c r="G32" s="20" t="s">
        <v>111</v>
      </c>
      <c r="H32" s="20" t="n">
        <v>2</v>
      </c>
      <c r="I32" s="24" t="n">
        <v>16</v>
      </c>
      <c r="J32" s="24" t="n">
        <v>5</v>
      </c>
      <c r="K32" s="24" t="n">
        <f aca="false">H32*I32</f>
        <v>32</v>
      </c>
      <c r="L32" s="24" t="n">
        <f aca="false">K32-H32*J32</f>
        <v>22</v>
      </c>
      <c r="M32" s="20" t="s">
        <v>50</v>
      </c>
    </row>
    <row r="33" customFormat="false" ht="15" hidden="false" customHeight="false" outlineLevel="0" collapsed="false">
      <c r="A33" s="20" t="s">
        <v>309</v>
      </c>
      <c r="B33" s="23" t="n">
        <v>45672</v>
      </c>
      <c r="C33" s="20" t="n">
        <f aca="false">MONTH(B33)</f>
        <v>1</v>
      </c>
      <c r="D33" s="20" t="s">
        <v>64</v>
      </c>
      <c r="E33" s="20" t="s">
        <v>47</v>
      </c>
      <c r="F33" s="20" t="s">
        <v>81</v>
      </c>
      <c r="G33" s="20" t="s">
        <v>61</v>
      </c>
      <c r="H33" s="20" t="n">
        <v>1</v>
      </c>
      <c r="I33" s="24" t="n">
        <v>35</v>
      </c>
      <c r="J33" s="24" t="n">
        <v>12</v>
      </c>
      <c r="K33" s="24" t="n">
        <f aca="false">H33*I33</f>
        <v>35</v>
      </c>
      <c r="L33" s="24" t="n">
        <f aca="false">K33-H33*J33</f>
        <v>23</v>
      </c>
      <c r="M33" s="20" t="s">
        <v>50</v>
      </c>
    </row>
    <row r="34" customFormat="false" ht="15" hidden="false" customHeight="false" outlineLevel="0" collapsed="false">
      <c r="A34" s="20" t="s">
        <v>85</v>
      </c>
      <c r="B34" s="23" t="n">
        <v>45673</v>
      </c>
      <c r="C34" s="20" t="n">
        <f aca="false">MONTH(B34)</f>
        <v>1</v>
      </c>
      <c r="D34" s="20" t="s">
        <v>86</v>
      </c>
      <c r="E34" s="20" t="s">
        <v>59</v>
      </c>
      <c r="F34" s="20" t="s">
        <v>81</v>
      </c>
      <c r="G34" s="20" t="s">
        <v>61</v>
      </c>
      <c r="H34" s="20" t="n">
        <v>1</v>
      </c>
      <c r="I34" s="24" t="n">
        <v>35</v>
      </c>
      <c r="J34" s="24" t="n">
        <v>12</v>
      </c>
      <c r="K34" s="24" t="n">
        <f aca="false">H34*I34</f>
        <v>35</v>
      </c>
      <c r="L34" s="24" t="n">
        <f aca="false">K34-H34*J34</f>
        <v>23</v>
      </c>
      <c r="M34" s="20" t="s">
        <v>50</v>
      </c>
    </row>
    <row r="35" customFormat="false" ht="15" hidden="false" customHeight="false" outlineLevel="0" collapsed="false">
      <c r="A35" s="20" t="s">
        <v>1380</v>
      </c>
      <c r="B35" s="23" t="n">
        <v>45673</v>
      </c>
      <c r="C35" s="20" t="n">
        <f aca="false">MONTH(B35)</f>
        <v>1</v>
      </c>
      <c r="D35" s="20" t="s">
        <v>1378</v>
      </c>
      <c r="E35" s="20" t="s">
        <v>47</v>
      </c>
      <c r="F35" s="20" t="s">
        <v>54</v>
      </c>
      <c r="G35" s="20" t="s">
        <v>55</v>
      </c>
      <c r="H35" s="20" t="n">
        <v>1</v>
      </c>
      <c r="I35" s="24" t="n">
        <v>38</v>
      </c>
      <c r="J35" s="24" t="n">
        <v>16</v>
      </c>
      <c r="K35" s="24" t="n">
        <f aca="false">H35*I35</f>
        <v>38</v>
      </c>
      <c r="L35" s="24" t="n">
        <f aca="false">K35-H35*J35</f>
        <v>22</v>
      </c>
      <c r="M35" s="20" t="s">
        <v>50</v>
      </c>
    </row>
    <row r="36" customFormat="false" ht="15" hidden="false" customHeight="false" outlineLevel="0" collapsed="false">
      <c r="A36" s="20" t="s">
        <v>113</v>
      </c>
      <c r="B36" s="23" t="n">
        <v>45673</v>
      </c>
      <c r="C36" s="20" t="n">
        <f aca="false">MONTH(B36)</f>
        <v>1</v>
      </c>
      <c r="D36" s="20" t="s">
        <v>115</v>
      </c>
      <c r="E36" s="20" t="s">
        <v>59</v>
      </c>
      <c r="F36" s="20" t="s">
        <v>48</v>
      </c>
      <c r="G36" s="20" t="s">
        <v>116</v>
      </c>
      <c r="H36" s="20" t="n">
        <v>1</v>
      </c>
      <c r="I36" s="24" t="n">
        <v>28</v>
      </c>
      <c r="J36" s="24" t="n">
        <v>9</v>
      </c>
      <c r="K36" s="24" t="n">
        <f aca="false">H36*I36</f>
        <v>28</v>
      </c>
      <c r="L36" s="24" t="n">
        <f aca="false">K36-H36*J36</f>
        <v>19</v>
      </c>
      <c r="M36" s="20" t="s">
        <v>50</v>
      </c>
    </row>
    <row r="37" customFormat="false" ht="15" hidden="false" customHeight="false" outlineLevel="0" collapsed="false">
      <c r="A37" s="20" t="s">
        <v>681</v>
      </c>
      <c r="B37" s="23" t="n">
        <v>45674</v>
      </c>
      <c r="C37" s="20" t="n">
        <f aca="false">MONTH(B37)</f>
        <v>1</v>
      </c>
      <c r="D37" s="20" t="s">
        <v>161</v>
      </c>
      <c r="E37" s="20" t="s">
        <v>47</v>
      </c>
      <c r="F37" s="20" t="s">
        <v>48</v>
      </c>
      <c r="G37" s="20" t="s">
        <v>144</v>
      </c>
      <c r="H37" s="20" t="n">
        <v>2</v>
      </c>
      <c r="I37" s="24" t="n">
        <v>54</v>
      </c>
      <c r="J37" s="24" t="n">
        <v>24</v>
      </c>
      <c r="K37" s="24" t="n">
        <f aca="false">H37*I37</f>
        <v>108</v>
      </c>
      <c r="L37" s="24" t="n">
        <f aca="false">K37-H37*J37</f>
        <v>60</v>
      </c>
      <c r="M37" s="20" t="s">
        <v>50</v>
      </c>
    </row>
    <row r="38" customFormat="false" ht="15" hidden="false" customHeight="false" outlineLevel="0" collapsed="false">
      <c r="A38" s="20" t="s">
        <v>1585</v>
      </c>
      <c r="B38" s="23" t="n">
        <v>45675</v>
      </c>
      <c r="C38" s="20" t="n">
        <f aca="false">MONTH(B38)</f>
        <v>1</v>
      </c>
      <c r="D38" s="20" t="s">
        <v>1010</v>
      </c>
      <c r="E38" s="20" t="s">
        <v>65</v>
      </c>
      <c r="F38" s="20" t="s">
        <v>81</v>
      </c>
      <c r="G38" s="20" t="s">
        <v>67</v>
      </c>
      <c r="H38" s="20" t="n">
        <v>2</v>
      </c>
      <c r="I38" s="24" t="n">
        <v>45</v>
      </c>
      <c r="J38" s="24" t="n">
        <v>17</v>
      </c>
      <c r="K38" s="24" t="n">
        <f aca="false">H38*I38</f>
        <v>90</v>
      </c>
      <c r="L38" s="24" t="n">
        <f aca="false">K38-H38*J38</f>
        <v>56</v>
      </c>
      <c r="M38" s="20" t="s">
        <v>50</v>
      </c>
    </row>
    <row r="39" customFormat="false" ht="15" hidden="false" customHeight="false" outlineLevel="0" collapsed="false">
      <c r="A39" s="20" t="s">
        <v>689</v>
      </c>
      <c r="B39" s="23" t="n">
        <v>45675</v>
      </c>
      <c r="C39" s="20" t="n">
        <f aca="false">MONTH(B39)</f>
        <v>1</v>
      </c>
      <c r="D39" s="20" t="s">
        <v>690</v>
      </c>
      <c r="E39" s="20" t="s">
        <v>70</v>
      </c>
      <c r="F39" s="20" t="s">
        <v>48</v>
      </c>
      <c r="G39" s="20" t="s">
        <v>116</v>
      </c>
      <c r="H39" s="20" t="n">
        <v>3</v>
      </c>
      <c r="I39" s="24" t="n">
        <v>28</v>
      </c>
      <c r="J39" s="24" t="n">
        <v>9</v>
      </c>
      <c r="K39" s="24" t="n">
        <f aca="false">H39*I39</f>
        <v>84</v>
      </c>
      <c r="L39" s="24" t="n">
        <f aca="false">K39-H39*J39</f>
        <v>57</v>
      </c>
      <c r="M39" s="20" t="s">
        <v>50</v>
      </c>
    </row>
    <row r="40" customFormat="false" ht="15" hidden="false" customHeight="false" outlineLevel="0" collapsed="false">
      <c r="A40" s="20" t="s">
        <v>1344</v>
      </c>
      <c r="B40" s="23" t="n">
        <v>45675</v>
      </c>
      <c r="C40" s="20" t="n">
        <f aca="false">MONTH(B40)</f>
        <v>1</v>
      </c>
      <c r="D40" s="20" t="s">
        <v>269</v>
      </c>
      <c r="E40" s="20" t="s">
        <v>59</v>
      </c>
      <c r="F40" s="20" t="s">
        <v>110</v>
      </c>
      <c r="G40" s="20" t="s">
        <v>111</v>
      </c>
      <c r="H40" s="20" t="n">
        <v>1</v>
      </c>
      <c r="I40" s="24" t="n">
        <v>16</v>
      </c>
      <c r="J40" s="24" t="n">
        <v>5</v>
      </c>
      <c r="K40" s="24" t="n">
        <f aca="false">H40*I40</f>
        <v>16</v>
      </c>
      <c r="L40" s="24" t="n">
        <f aca="false">K40-H40*J40</f>
        <v>11</v>
      </c>
      <c r="M40" s="20" t="s">
        <v>112</v>
      </c>
    </row>
    <row r="41" customFormat="false" ht="15" hidden="false" customHeight="false" outlineLevel="0" collapsed="false">
      <c r="A41" s="20" t="s">
        <v>775</v>
      </c>
      <c r="B41" s="23" t="n">
        <v>45675</v>
      </c>
      <c r="C41" s="20" t="n">
        <f aca="false">MONTH(B41)</f>
        <v>1</v>
      </c>
      <c r="D41" s="20" t="s">
        <v>104</v>
      </c>
      <c r="E41" s="20" t="s">
        <v>47</v>
      </c>
      <c r="F41" s="20" t="s">
        <v>110</v>
      </c>
      <c r="G41" s="20" t="s">
        <v>111</v>
      </c>
      <c r="H41" s="20" t="n">
        <v>1</v>
      </c>
      <c r="I41" s="24" t="n">
        <v>16</v>
      </c>
      <c r="J41" s="24" t="n">
        <v>5</v>
      </c>
      <c r="K41" s="24" t="n">
        <f aca="false">H41*I41</f>
        <v>16</v>
      </c>
      <c r="L41" s="24" t="n">
        <f aca="false">K41-H41*J41</f>
        <v>11</v>
      </c>
      <c r="M41" s="20" t="s">
        <v>50</v>
      </c>
    </row>
    <row r="42" customFormat="false" ht="15" hidden="false" customHeight="false" outlineLevel="0" collapsed="false">
      <c r="A42" s="20" t="s">
        <v>1156</v>
      </c>
      <c r="B42" s="23" t="n">
        <v>45676</v>
      </c>
      <c r="C42" s="20" t="n">
        <f aca="false">MONTH(B42)</f>
        <v>1</v>
      </c>
      <c r="D42" s="20" t="s">
        <v>192</v>
      </c>
      <c r="E42" s="20" t="s">
        <v>70</v>
      </c>
      <c r="F42" s="20" t="s">
        <v>54</v>
      </c>
      <c r="G42" s="20" t="s">
        <v>55</v>
      </c>
      <c r="H42" s="20" t="n">
        <v>1</v>
      </c>
      <c r="I42" s="24" t="n">
        <v>38</v>
      </c>
      <c r="J42" s="24" t="n">
        <v>16</v>
      </c>
      <c r="K42" s="24" t="n">
        <f aca="false">H42*I42</f>
        <v>38</v>
      </c>
      <c r="L42" s="24" t="n">
        <f aca="false">K42-H42*J42</f>
        <v>22</v>
      </c>
      <c r="M42" s="20" t="s">
        <v>50</v>
      </c>
    </row>
    <row r="43" customFormat="false" ht="15" hidden="false" customHeight="false" outlineLevel="0" collapsed="false">
      <c r="A43" s="20" t="s">
        <v>892</v>
      </c>
      <c r="B43" s="23" t="n">
        <v>45676</v>
      </c>
      <c r="C43" s="20" t="n">
        <f aca="false">MONTH(B43)</f>
        <v>1</v>
      </c>
      <c r="D43" s="20" t="s">
        <v>195</v>
      </c>
      <c r="E43" s="20" t="s">
        <v>47</v>
      </c>
      <c r="F43" s="20" t="s">
        <v>54</v>
      </c>
      <c r="G43" s="20" t="s">
        <v>72</v>
      </c>
      <c r="H43" s="20" t="n">
        <v>1</v>
      </c>
      <c r="I43" s="24" t="n">
        <v>24</v>
      </c>
      <c r="J43" s="24" t="n">
        <v>9</v>
      </c>
      <c r="K43" s="24" t="n">
        <f aca="false">H43*I43</f>
        <v>24</v>
      </c>
      <c r="L43" s="24" t="n">
        <f aca="false">K43-H43*J43</f>
        <v>15</v>
      </c>
      <c r="M43" s="20" t="s">
        <v>50</v>
      </c>
    </row>
    <row r="44" customFormat="false" ht="15" hidden="false" customHeight="false" outlineLevel="0" collapsed="false">
      <c r="A44" s="20" t="s">
        <v>735</v>
      </c>
      <c r="B44" s="23" t="n">
        <v>45677</v>
      </c>
      <c r="C44" s="20" t="n">
        <f aca="false">MONTH(B44)</f>
        <v>1</v>
      </c>
      <c r="D44" s="20" t="s">
        <v>91</v>
      </c>
      <c r="E44" s="20" t="s">
        <v>65</v>
      </c>
      <c r="F44" s="20" t="s">
        <v>92</v>
      </c>
      <c r="G44" s="20" t="s">
        <v>105</v>
      </c>
      <c r="H44" s="20" t="n">
        <v>2</v>
      </c>
      <c r="I44" s="24" t="n">
        <v>49</v>
      </c>
      <c r="J44" s="24" t="n">
        <v>22</v>
      </c>
      <c r="K44" s="24" t="n">
        <f aca="false">H44*I44</f>
        <v>98</v>
      </c>
      <c r="L44" s="24" t="n">
        <f aca="false">K44-H44*J44</f>
        <v>54</v>
      </c>
      <c r="M44" s="20" t="s">
        <v>50</v>
      </c>
    </row>
    <row r="45" customFormat="false" ht="15" hidden="false" customHeight="false" outlineLevel="0" collapsed="false">
      <c r="A45" s="20" t="s">
        <v>314</v>
      </c>
      <c r="B45" s="23" t="n">
        <v>45678</v>
      </c>
      <c r="C45" s="20" t="n">
        <f aca="false">MONTH(B45)</f>
        <v>1</v>
      </c>
      <c r="D45" s="20" t="s">
        <v>153</v>
      </c>
      <c r="E45" s="20" t="s">
        <v>47</v>
      </c>
      <c r="F45" s="20" t="s">
        <v>110</v>
      </c>
      <c r="G45" s="20" t="s">
        <v>121</v>
      </c>
      <c r="H45" s="20" t="n">
        <v>1</v>
      </c>
      <c r="I45" s="24" t="n">
        <v>21</v>
      </c>
      <c r="J45" s="24" t="n">
        <v>7</v>
      </c>
      <c r="K45" s="24" t="n">
        <f aca="false">H45*I45</f>
        <v>21</v>
      </c>
      <c r="L45" s="24" t="n">
        <f aca="false">K45-H45*J45</f>
        <v>14</v>
      </c>
      <c r="M45" s="20" t="s">
        <v>50</v>
      </c>
    </row>
    <row r="46" customFormat="false" ht="15" hidden="false" customHeight="false" outlineLevel="0" collapsed="false">
      <c r="A46" s="20" t="s">
        <v>747</v>
      </c>
      <c r="B46" s="23" t="n">
        <v>45678</v>
      </c>
      <c r="C46" s="20" t="n">
        <f aca="false">MONTH(B46)</f>
        <v>1</v>
      </c>
      <c r="D46" s="20" t="s">
        <v>522</v>
      </c>
      <c r="E46" s="20" t="s">
        <v>47</v>
      </c>
      <c r="F46" s="20" t="s">
        <v>54</v>
      </c>
      <c r="G46" s="20" t="s">
        <v>76</v>
      </c>
      <c r="H46" s="20" t="n">
        <v>4</v>
      </c>
      <c r="I46" s="24" t="n">
        <v>32</v>
      </c>
      <c r="J46" s="24" t="n">
        <v>13</v>
      </c>
      <c r="K46" s="24" t="n">
        <f aca="false">H46*I46</f>
        <v>128</v>
      </c>
      <c r="L46" s="24" t="n">
        <f aca="false">K46-H46*J46</f>
        <v>76</v>
      </c>
      <c r="M46" s="20" t="s">
        <v>50</v>
      </c>
    </row>
    <row r="47" customFormat="false" ht="15" hidden="false" customHeight="false" outlineLevel="0" collapsed="false">
      <c r="A47" s="20" t="s">
        <v>279</v>
      </c>
      <c r="B47" s="23" t="n">
        <v>45678</v>
      </c>
      <c r="C47" s="20" t="n">
        <f aca="false">MONTH(B47)</f>
        <v>1</v>
      </c>
      <c r="D47" s="20" t="s">
        <v>281</v>
      </c>
      <c r="E47" s="20" t="s">
        <v>47</v>
      </c>
      <c r="F47" s="20" t="s">
        <v>54</v>
      </c>
      <c r="G47" s="20" t="s">
        <v>76</v>
      </c>
      <c r="H47" s="20" t="n">
        <v>1</v>
      </c>
      <c r="I47" s="24" t="n">
        <v>32</v>
      </c>
      <c r="J47" s="24" t="n">
        <v>13</v>
      </c>
      <c r="K47" s="24" t="n">
        <f aca="false">H47*I47</f>
        <v>32</v>
      </c>
      <c r="L47" s="24" t="n">
        <f aca="false">K47-H47*J47</f>
        <v>19</v>
      </c>
      <c r="M47" s="20" t="s">
        <v>50</v>
      </c>
    </row>
    <row r="48" customFormat="false" ht="15" hidden="false" customHeight="false" outlineLevel="0" collapsed="false">
      <c r="A48" s="20" t="s">
        <v>1473</v>
      </c>
      <c r="B48" s="23" t="n">
        <v>45679</v>
      </c>
      <c r="C48" s="20" t="n">
        <f aca="false">MONTH(B48)</f>
        <v>1</v>
      </c>
      <c r="D48" s="20" t="s">
        <v>104</v>
      </c>
      <c r="E48" s="20" t="s">
        <v>47</v>
      </c>
      <c r="F48" s="20" t="s">
        <v>110</v>
      </c>
      <c r="G48" s="20" t="s">
        <v>121</v>
      </c>
      <c r="H48" s="20" t="n">
        <v>1</v>
      </c>
      <c r="I48" s="24" t="n">
        <v>21</v>
      </c>
      <c r="J48" s="24" t="n">
        <v>7</v>
      </c>
      <c r="K48" s="24" t="n">
        <f aca="false">H48*I48</f>
        <v>21</v>
      </c>
      <c r="L48" s="24" t="n">
        <f aca="false">K48-H48*J48</f>
        <v>14</v>
      </c>
      <c r="M48" s="20" t="s">
        <v>50</v>
      </c>
    </row>
    <row r="49" customFormat="false" ht="15" hidden="false" customHeight="false" outlineLevel="0" collapsed="false">
      <c r="A49" s="20" t="s">
        <v>1225</v>
      </c>
      <c r="B49" s="23" t="n">
        <v>45679</v>
      </c>
      <c r="C49" s="20" t="n">
        <f aca="false">MONTH(B49)</f>
        <v>1</v>
      </c>
      <c r="D49" s="20" t="s">
        <v>233</v>
      </c>
      <c r="E49" s="20" t="s">
        <v>70</v>
      </c>
      <c r="F49" s="20" t="s">
        <v>81</v>
      </c>
      <c r="G49" s="20" t="s">
        <v>61</v>
      </c>
      <c r="H49" s="20" t="n">
        <v>1</v>
      </c>
      <c r="I49" s="24" t="n">
        <v>35</v>
      </c>
      <c r="J49" s="24" t="n">
        <v>12</v>
      </c>
      <c r="K49" s="24" t="n">
        <f aca="false">H49*I49</f>
        <v>35</v>
      </c>
      <c r="L49" s="24" t="n">
        <f aca="false">K49-H49*J49</f>
        <v>23</v>
      </c>
      <c r="M49" s="20" t="s">
        <v>50</v>
      </c>
    </row>
    <row r="50" customFormat="false" ht="15" hidden="false" customHeight="false" outlineLevel="0" collapsed="false">
      <c r="A50" s="20" t="s">
        <v>469</v>
      </c>
      <c r="B50" s="23" t="n">
        <v>45679</v>
      </c>
      <c r="C50" s="20" t="n">
        <f aca="false">MONTH(B50)</f>
        <v>1</v>
      </c>
      <c r="D50" s="20" t="s">
        <v>134</v>
      </c>
      <c r="E50" s="20" t="s">
        <v>47</v>
      </c>
      <c r="F50" s="20" t="s">
        <v>110</v>
      </c>
      <c r="G50" s="20" t="s">
        <v>121</v>
      </c>
      <c r="H50" s="20" t="n">
        <v>1</v>
      </c>
      <c r="I50" s="24" t="n">
        <v>21</v>
      </c>
      <c r="J50" s="24" t="n">
        <v>7</v>
      </c>
      <c r="K50" s="24" t="n">
        <f aca="false">H50*I50</f>
        <v>21</v>
      </c>
      <c r="L50" s="24" t="n">
        <f aca="false">K50-H50*J50</f>
        <v>14</v>
      </c>
      <c r="M50" s="20" t="s">
        <v>50</v>
      </c>
    </row>
    <row r="51" customFormat="false" ht="15" hidden="false" customHeight="false" outlineLevel="0" collapsed="false">
      <c r="A51" s="20" t="s">
        <v>1271</v>
      </c>
      <c r="B51" s="23" t="n">
        <v>45680</v>
      </c>
      <c r="C51" s="20" t="n">
        <f aca="false">MONTH(B51)</f>
        <v>1</v>
      </c>
      <c r="D51" s="20" t="s">
        <v>719</v>
      </c>
      <c r="E51" s="20" t="s">
        <v>47</v>
      </c>
      <c r="F51" s="20" t="s">
        <v>110</v>
      </c>
      <c r="G51" s="20" t="s">
        <v>236</v>
      </c>
      <c r="H51" s="20" t="n">
        <v>2</v>
      </c>
      <c r="I51" s="24" t="n">
        <v>30</v>
      </c>
      <c r="J51" s="24" t="n">
        <v>11</v>
      </c>
      <c r="K51" s="24" t="n">
        <f aca="false">H51*I51</f>
        <v>60</v>
      </c>
      <c r="L51" s="24" t="n">
        <f aca="false">K51-H51*J51</f>
        <v>38</v>
      </c>
      <c r="M51" s="20" t="s">
        <v>50</v>
      </c>
    </row>
    <row r="52" customFormat="false" ht="15" hidden="false" customHeight="false" outlineLevel="0" collapsed="false">
      <c r="A52" s="20" t="s">
        <v>713</v>
      </c>
      <c r="B52" s="23" t="n">
        <v>45680</v>
      </c>
      <c r="C52" s="20" t="n">
        <f aca="false">MONTH(B52)</f>
        <v>1</v>
      </c>
      <c r="D52" s="20" t="s">
        <v>143</v>
      </c>
      <c r="E52" s="20" t="s">
        <v>47</v>
      </c>
      <c r="F52" s="20" t="s">
        <v>92</v>
      </c>
      <c r="G52" s="20" t="s">
        <v>196</v>
      </c>
      <c r="H52" s="20" t="n">
        <v>2</v>
      </c>
      <c r="I52" s="24" t="n">
        <v>89</v>
      </c>
      <c r="J52" s="24" t="n">
        <v>41</v>
      </c>
      <c r="K52" s="24" t="n">
        <f aca="false">H52*I52</f>
        <v>178</v>
      </c>
      <c r="L52" s="24" t="n">
        <f aca="false">K52-H52*J52</f>
        <v>96</v>
      </c>
      <c r="M52" s="20" t="s">
        <v>50</v>
      </c>
    </row>
    <row r="53" customFormat="false" ht="15" hidden="false" customHeight="false" outlineLevel="0" collapsed="false">
      <c r="A53" s="20" t="s">
        <v>445</v>
      </c>
      <c r="B53" s="23" t="n">
        <v>45680</v>
      </c>
      <c r="C53" s="20" t="n">
        <f aca="false">MONTH(B53)</f>
        <v>1</v>
      </c>
      <c r="D53" s="20" t="s">
        <v>447</v>
      </c>
      <c r="E53" s="20" t="s">
        <v>47</v>
      </c>
      <c r="F53" s="20" t="s">
        <v>92</v>
      </c>
      <c r="G53" s="20" t="s">
        <v>105</v>
      </c>
      <c r="H53" s="20" t="n">
        <v>1</v>
      </c>
      <c r="I53" s="24" t="n">
        <v>49</v>
      </c>
      <c r="J53" s="24" t="n">
        <v>22</v>
      </c>
      <c r="K53" s="24" t="n">
        <f aca="false">H53*I53</f>
        <v>49</v>
      </c>
      <c r="L53" s="24" t="n">
        <f aca="false">K53-H53*J53</f>
        <v>27</v>
      </c>
      <c r="M53" s="20" t="s">
        <v>112</v>
      </c>
    </row>
    <row r="54" customFormat="false" ht="15" hidden="false" customHeight="false" outlineLevel="0" collapsed="false">
      <c r="A54" s="20" t="s">
        <v>1632</v>
      </c>
      <c r="B54" s="23" t="n">
        <v>45681</v>
      </c>
      <c r="C54" s="20" t="n">
        <f aca="false">MONTH(B54)</f>
        <v>1</v>
      </c>
      <c r="D54" s="20" t="s">
        <v>1001</v>
      </c>
      <c r="E54" s="20" t="s">
        <v>59</v>
      </c>
      <c r="F54" s="20" t="s">
        <v>48</v>
      </c>
      <c r="G54" s="20" t="s">
        <v>49</v>
      </c>
      <c r="H54" s="20" t="n">
        <v>1</v>
      </c>
      <c r="I54" s="24" t="n">
        <v>18</v>
      </c>
      <c r="J54" s="24" t="n">
        <v>5</v>
      </c>
      <c r="K54" s="24" t="n">
        <f aca="false">H54*I54</f>
        <v>18</v>
      </c>
      <c r="L54" s="24" t="n">
        <f aca="false">K54-H54*J54</f>
        <v>13</v>
      </c>
      <c r="M54" s="20" t="s">
        <v>50</v>
      </c>
    </row>
    <row r="55" customFormat="false" ht="15" hidden="false" customHeight="false" outlineLevel="0" collapsed="false">
      <c r="A55" s="20" t="s">
        <v>1362</v>
      </c>
      <c r="B55" s="23" t="n">
        <v>45682</v>
      </c>
      <c r="C55" s="20" t="n">
        <f aca="false">MONTH(B55)</f>
        <v>1</v>
      </c>
      <c r="D55" s="20" t="s">
        <v>281</v>
      </c>
      <c r="E55" s="20" t="s">
        <v>70</v>
      </c>
      <c r="F55" s="20" t="s">
        <v>48</v>
      </c>
      <c r="G55" s="20" t="s">
        <v>144</v>
      </c>
      <c r="H55" s="20" t="n">
        <v>3</v>
      </c>
      <c r="I55" s="24" t="n">
        <v>54</v>
      </c>
      <c r="J55" s="24" t="n">
        <v>24</v>
      </c>
      <c r="K55" s="24" t="n">
        <f aca="false">H55*I55</f>
        <v>162</v>
      </c>
      <c r="L55" s="24" t="n">
        <f aca="false">K55-H55*J55</f>
        <v>90</v>
      </c>
      <c r="M55" s="20" t="s">
        <v>50</v>
      </c>
    </row>
    <row r="56" customFormat="false" ht="15" hidden="false" customHeight="false" outlineLevel="0" collapsed="false">
      <c r="A56" s="20" t="s">
        <v>1685</v>
      </c>
      <c r="B56" s="23" t="n">
        <v>45682</v>
      </c>
      <c r="C56" s="20" t="n">
        <f aca="false">MONTH(B56)</f>
        <v>1</v>
      </c>
      <c r="D56" s="20" t="s">
        <v>192</v>
      </c>
      <c r="E56" s="20" t="s">
        <v>59</v>
      </c>
      <c r="F56" s="20" t="s">
        <v>48</v>
      </c>
      <c r="G56" s="20" t="s">
        <v>144</v>
      </c>
      <c r="H56" s="20" t="n">
        <v>2</v>
      </c>
      <c r="I56" s="24" t="n">
        <v>54</v>
      </c>
      <c r="J56" s="24" t="n">
        <v>24</v>
      </c>
      <c r="K56" s="24" t="n">
        <f aca="false">H56*I56</f>
        <v>108</v>
      </c>
      <c r="L56" s="24" t="n">
        <f aca="false">K56-H56*J56</f>
        <v>60</v>
      </c>
      <c r="M56" s="20" t="s">
        <v>50</v>
      </c>
    </row>
    <row r="57" customFormat="false" ht="15" hidden="false" customHeight="false" outlineLevel="0" collapsed="false">
      <c r="A57" s="20" t="s">
        <v>1167</v>
      </c>
      <c r="B57" s="23" t="n">
        <v>45683</v>
      </c>
      <c r="C57" s="20" t="n">
        <f aca="false">MONTH(B57)</f>
        <v>1</v>
      </c>
      <c r="D57" s="20" t="s">
        <v>431</v>
      </c>
      <c r="E57" s="20" t="s">
        <v>59</v>
      </c>
      <c r="F57" s="20" t="s">
        <v>81</v>
      </c>
      <c r="G57" s="20" t="s">
        <v>61</v>
      </c>
      <c r="H57" s="20" t="n">
        <v>3</v>
      </c>
      <c r="I57" s="24" t="n">
        <v>35</v>
      </c>
      <c r="J57" s="24" t="n">
        <v>12</v>
      </c>
      <c r="K57" s="24" t="n">
        <f aca="false">H57*I57</f>
        <v>105</v>
      </c>
      <c r="L57" s="24" t="n">
        <f aca="false">K57-H57*J57</f>
        <v>69</v>
      </c>
      <c r="M57" s="20" t="s">
        <v>50</v>
      </c>
    </row>
    <row r="58" customFormat="false" ht="15" hidden="false" customHeight="false" outlineLevel="0" collapsed="false">
      <c r="A58" s="20" t="s">
        <v>1296</v>
      </c>
      <c r="B58" s="23" t="n">
        <v>45683</v>
      </c>
      <c r="C58" s="20" t="n">
        <f aca="false">MONTH(B58)</f>
        <v>1</v>
      </c>
      <c r="D58" s="20" t="s">
        <v>483</v>
      </c>
      <c r="E58" s="20" t="s">
        <v>70</v>
      </c>
      <c r="F58" s="20" t="s">
        <v>48</v>
      </c>
      <c r="G58" s="20" t="s">
        <v>144</v>
      </c>
      <c r="H58" s="20" t="n">
        <v>2</v>
      </c>
      <c r="I58" s="24" t="n">
        <v>54</v>
      </c>
      <c r="J58" s="24" t="n">
        <v>24</v>
      </c>
      <c r="K58" s="24" t="n">
        <f aca="false">H58*I58</f>
        <v>108</v>
      </c>
      <c r="L58" s="24" t="n">
        <f aca="false">K58-H58*J58</f>
        <v>60</v>
      </c>
      <c r="M58" s="20" t="s">
        <v>50</v>
      </c>
    </row>
    <row r="59" customFormat="false" ht="15" hidden="false" customHeight="false" outlineLevel="0" collapsed="false">
      <c r="A59" s="20" t="s">
        <v>1454</v>
      </c>
      <c r="B59" s="23" t="n">
        <v>45684</v>
      </c>
      <c r="C59" s="20" t="n">
        <f aca="false">MONTH(B59)</f>
        <v>1</v>
      </c>
      <c r="D59" s="20" t="s">
        <v>447</v>
      </c>
      <c r="E59" s="20" t="s">
        <v>59</v>
      </c>
      <c r="F59" s="20" t="s">
        <v>92</v>
      </c>
      <c r="G59" s="20" t="s">
        <v>105</v>
      </c>
      <c r="H59" s="20" t="n">
        <v>2</v>
      </c>
      <c r="I59" s="24" t="n">
        <v>49</v>
      </c>
      <c r="J59" s="24" t="n">
        <v>22</v>
      </c>
      <c r="K59" s="24" t="n">
        <f aca="false">H59*I59</f>
        <v>98</v>
      </c>
      <c r="L59" s="24" t="n">
        <f aca="false">K59-H59*J59</f>
        <v>54</v>
      </c>
      <c r="M59" s="20" t="s">
        <v>50</v>
      </c>
    </row>
    <row r="60" customFormat="false" ht="15" hidden="false" customHeight="false" outlineLevel="0" collapsed="false">
      <c r="A60" s="20" t="s">
        <v>966</v>
      </c>
      <c r="B60" s="23" t="n">
        <v>45684</v>
      </c>
      <c r="C60" s="20" t="n">
        <f aca="false">MONTH(B60)</f>
        <v>1</v>
      </c>
      <c r="D60" s="20" t="s">
        <v>210</v>
      </c>
      <c r="E60" s="20" t="s">
        <v>59</v>
      </c>
      <c r="F60" s="20" t="s">
        <v>48</v>
      </c>
      <c r="G60" s="20" t="s">
        <v>116</v>
      </c>
      <c r="H60" s="20" t="n">
        <v>1</v>
      </c>
      <c r="I60" s="24" t="n">
        <v>28</v>
      </c>
      <c r="J60" s="24" t="n">
        <v>9</v>
      </c>
      <c r="K60" s="24" t="n">
        <f aca="false">H60*I60</f>
        <v>28</v>
      </c>
      <c r="L60" s="24" t="n">
        <f aca="false">K60-H60*J60</f>
        <v>19</v>
      </c>
      <c r="M60" s="20" t="s">
        <v>50</v>
      </c>
    </row>
    <row r="61" customFormat="false" ht="15" hidden="false" customHeight="false" outlineLevel="0" collapsed="false">
      <c r="A61" s="20" t="s">
        <v>1244</v>
      </c>
      <c r="B61" s="23" t="n">
        <v>45684</v>
      </c>
      <c r="C61" s="20" t="n">
        <f aca="false">MONTH(B61)</f>
        <v>1</v>
      </c>
      <c r="D61" s="20" t="s">
        <v>338</v>
      </c>
      <c r="E61" s="20" t="s">
        <v>65</v>
      </c>
      <c r="F61" s="20" t="s">
        <v>48</v>
      </c>
      <c r="G61" s="20" t="s">
        <v>116</v>
      </c>
      <c r="H61" s="20" t="n">
        <v>1</v>
      </c>
      <c r="I61" s="24" t="n">
        <v>28</v>
      </c>
      <c r="J61" s="24" t="n">
        <v>9</v>
      </c>
      <c r="K61" s="24" t="n">
        <f aca="false">H61*I61</f>
        <v>28</v>
      </c>
      <c r="L61" s="24" t="n">
        <f aca="false">K61-H61*J61</f>
        <v>19</v>
      </c>
      <c r="M61" s="20" t="s">
        <v>50</v>
      </c>
    </row>
    <row r="62" customFormat="false" ht="15" hidden="false" customHeight="false" outlineLevel="0" collapsed="false">
      <c r="A62" s="20" t="s">
        <v>406</v>
      </c>
      <c r="B62" s="23" t="n">
        <v>45685</v>
      </c>
      <c r="C62" s="20" t="n">
        <f aca="false">MONTH(B62)</f>
        <v>1</v>
      </c>
      <c r="D62" s="20" t="s">
        <v>143</v>
      </c>
      <c r="E62" s="20" t="s">
        <v>70</v>
      </c>
      <c r="F62" s="20" t="s">
        <v>48</v>
      </c>
      <c r="G62" s="20" t="s">
        <v>144</v>
      </c>
      <c r="H62" s="20" t="n">
        <v>2</v>
      </c>
      <c r="I62" s="24" t="n">
        <v>54</v>
      </c>
      <c r="J62" s="24" t="n">
        <v>24</v>
      </c>
      <c r="K62" s="24" t="n">
        <f aca="false">H62*I62</f>
        <v>108</v>
      </c>
      <c r="L62" s="24" t="n">
        <f aca="false">K62-H62*J62</f>
        <v>60</v>
      </c>
      <c r="M62" s="20" t="s">
        <v>50</v>
      </c>
    </row>
    <row r="63" customFormat="false" ht="15" hidden="false" customHeight="false" outlineLevel="0" collapsed="false">
      <c r="A63" s="20" t="s">
        <v>576</v>
      </c>
      <c r="B63" s="23" t="n">
        <v>45685</v>
      </c>
      <c r="C63" s="20" t="n">
        <f aca="false">MONTH(B63)</f>
        <v>1</v>
      </c>
      <c r="D63" s="20" t="s">
        <v>578</v>
      </c>
      <c r="E63" s="20" t="s">
        <v>70</v>
      </c>
      <c r="F63" s="20" t="s">
        <v>54</v>
      </c>
      <c r="G63" s="20" t="s">
        <v>76</v>
      </c>
      <c r="H63" s="20" t="n">
        <v>1</v>
      </c>
      <c r="I63" s="24" t="n">
        <v>32</v>
      </c>
      <c r="J63" s="24" t="n">
        <v>13</v>
      </c>
      <c r="K63" s="24" t="n">
        <f aca="false">H63*I63</f>
        <v>32</v>
      </c>
      <c r="L63" s="24" t="n">
        <f aca="false">K63-H63*J63</f>
        <v>19</v>
      </c>
      <c r="M63" s="20" t="s">
        <v>50</v>
      </c>
    </row>
    <row r="64" customFormat="false" ht="15" hidden="false" customHeight="false" outlineLevel="0" collapsed="false">
      <c r="A64" s="20" t="s">
        <v>270</v>
      </c>
      <c r="B64" s="23" t="n">
        <v>45685</v>
      </c>
      <c r="C64" s="20" t="n">
        <f aca="false">MONTH(B64)</f>
        <v>1</v>
      </c>
      <c r="D64" s="20" t="s">
        <v>272</v>
      </c>
      <c r="E64" s="20" t="s">
        <v>109</v>
      </c>
      <c r="F64" s="20" t="s">
        <v>54</v>
      </c>
      <c r="G64" s="20" t="s">
        <v>76</v>
      </c>
      <c r="H64" s="20" t="n">
        <v>2</v>
      </c>
      <c r="I64" s="24" t="n">
        <v>32</v>
      </c>
      <c r="J64" s="24" t="n">
        <v>13</v>
      </c>
      <c r="K64" s="24" t="n">
        <f aca="false">H64*I64</f>
        <v>64</v>
      </c>
      <c r="L64" s="24" t="n">
        <f aca="false">K64-H64*J64</f>
        <v>38</v>
      </c>
      <c r="M64" s="20" t="s">
        <v>50</v>
      </c>
    </row>
    <row r="65" customFormat="false" ht="15" hidden="false" customHeight="false" outlineLevel="0" collapsed="false">
      <c r="A65" s="20" t="s">
        <v>1237</v>
      </c>
      <c r="B65" s="23" t="n">
        <v>45689</v>
      </c>
      <c r="C65" s="20" t="n">
        <f aca="false">MONTH(B65)</f>
        <v>2</v>
      </c>
      <c r="D65" s="20" t="s">
        <v>447</v>
      </c>
      <c r="E65" s="20" t="s">
        <v>109</v>
      </c>
      <c r="F65" s="20" t="s">
        <v>48</v>
      </c>
      <c r="G65" s="20" t="s">
        <v>49</v>
      </c>
      <c r="H65" s="20" t="n">
        <v>1</v>
      </c>
      <c r="I65" s="24" t="n">
        <v>18</v>
      </c>
      <c r="J65" s="24" t="n">
        <v>5</v>
      </c>
      <c r="K65" s="24" t="n">
        <f aca="false">H65*I65</f>
        <v>18</v>
      </c>
      <c r="L65" s="24" t="n">
        <f aca="false">K65-H65*J65</f>
        <v>13</v>
      </c>
      <c r="M65" s="20" t="s">
        <v>50</v>
      </c>
    </row>
    <row r="66" customFormat="false" ht="15" hidden="false" customHeight="false" outlineLevel="0" collapsed="false">
      <c r="A66" s="20" t="s">
        <v>1206</v>
      </c>
      <c r="B66" s="23" t="n">
        <v>45689</v>
      </c>
      <c r="C66" s="20" t="n">
        <f aca="false">MONTH(B66)</f>
        <v>2</v>
      </c>
      <c r="D66" s="20" t="s">
        <v>801</v>
      </c>
      <c r="E66" s="20" t="s">
        <v>47</v>
      </c>
      <c r="F66" s="20" t="s">
        <v>92</v>
      </c>
      <c r="G66" s="20" t="s">
        <v>105</v>
      </c>
      <c r="H66" s="20" t="n">
        <v>1</v>
      </c>
      <c r="I66" s="24" t="n">
        <v>49</v>
      </c>
      <c r="J66" s="24" t="n">
        <v>22</v>
      </c>
      <c r="K66" s="24" t="n">
        <f aca="false">H66*I66</f>
        <v>49</v>
      </c>
      <c r="L66" s="24" t="n">
        <f aca="false">K66-H66*J66</f>
        <v>27</v>
      </c>
      <c r="M66" s="20" t="s">
        <v>50</v>
      </c>
    </row>
    <row r="67" customFormat="false" ht="15" hidden="false" customHeight="false" outlineLevel="0" collapsed="false">
      <c r="A67" s="20" t="s">
        <v>1566</v>
      </c>
      <c r="B67" s="23" t="n">
        <v>45689</v>
      </c>
      <c r="C67" s="20" t="n">
        <f aca="false">MONTH(B67)</f>
        <v>2</v>
      </c>
      <c r="D67" s="20" t="s">
        <v>600</v>
      </c>
      <c r="E67" s="20" t="s">
        <v>47</v>
      </c>
      <c r="F67" s="20" t="s">
        <v>48</v>
      </c>
      <c r="G67" s="20" t="s">
        <v>49</v>
      </c>
      <c r="H67" s="20" t="n">
        <v>1</v>
      </c>
      <c r="I67" s="24" t="n">
        <v>18</v>
      </c>
      <c r="J67" s="24" t="n">
        <v>5</v>
      </c>
      <c r="K67" s="24" t="n">
        <f aca="false">H67*I67</f>
        <v>18</v>
      </c>
      <c r="L67" s="24" t="n">
        <f aca="false">K67-H67*J67</f>
        <v>13</v>
      </c>
      <c r="M67" s="20" t="s">
        <v>50</v>
      </c>
    </row>
    <row r="68" customFormat="false" ht="15" hidden="false" customHeight="false" outlineLevel="0" collapsed="false">
      <c r="A68" s="20" t="s">
        <v>1178</v>
      </c>
      <c r="B68" s="23" t="n">
        <v>45689</v>
      </c>
      <c r="C68" s="20" t="n">
        <f aca="false">MONTH(B68)</f>
        <v>2</v>
      </c>
      <c r="D68" s="20" t="s">
        <v>75</v>
      </c>
      <c r="E68" s="20" t="s">
        <v>59</v>
      </c>
      <c r="F68" s="20" t="s">
        <v>54</v>
      </c>
      <c r="G68" s="20" t="s">
        <v>55</v>
      </c>
      <c r="H68" s="20" t="n">
        <v>2</v>
      </c>
      <c r="I68" s="24" t="n">
        <v>38</v>
      </c>
      <c r="J68" s="24" t="n">
        <v>16</v>
      </c>
      <c r="K68" s="24" t="n">
        <f aca="false">H68*I68</f>
        <v>76</v>
      </c>
      <c r="L68" s="24" t="n">
        <f aca="false">K68-H68*J68</f>
        <v>44</v>
      </c>
      <c r="M68" s="20" t="s">
        <v>50</v>
      </c>
    </row>
    <row r="69" customFormat="false" ht="15" hidden="false" customHeight="false" outlineLevel="0" collapsed="false">
      <c r="A69" s="20" t="s">
        <v>1673</v>
      </c>
      <c r="B69" s="23" t="n">
        <v>45690</v>
      </c>
      <c r="C69" s="20" t="n">
        <f aca="false">MONTH(B69)</f>
        <v>2</v>
      </c>
      <c r="D69" s="20" t="s">
        <v>412</v>
      </c>
      <c r="E69" s="20" t="s">
        <v>47</v>
      </c>
      <c r="F69" s="20" t="s">
        <v>81</v>
      </c>
      <c r="G69" s="20" t="s">
        <v>61</v>
      </c>
      <c r="H69" s="20" t="n">
        <v>1</v>
      </c>
      <c r="I69" s="24" t="n">
        <v>35</v>
      </c>
      <c r="J69" s="24" t="n">
        <v>12</v>
      </c>
      <c r="K69" s="24" t="n">
        <f aca="false">H69*I69</f>
        <v>35</v>
      </c>
      <c r="L69" s="24" t="n">
        <f aca="false">K69-H69*J69</f>
        <v>23</v>
      </c>
      <c r="M69" s="20" t="s">
        <v>50</v>
      </c>
    </row>
    <row r="70" customFormat="false" ht="15" hidden="false" customHeight="false" outlineLevel="0" collapsed="false">
      <c r="A70" s="20" t="s">
        <v>630</v>
      </c>
      <c r="B70" s="23" t="n">
        <v>45690</v>
      </c>
      <c r="C70" s="20" t="n">
        <f aca="false">MONTH(B70)</f>
        <v>2</v>
      </c>
      <c r="D70" s="20" t="s">
        <v>519</v>
      </c>
      <c r="E70" s="20" t="s">
        <v>59</v>
      </c>
      <c r="F70" s="20" t="s">
        <v>81</v>
      </c>
      <c r="G70" s="20" t="s">
        <v>82</v>
      </c>
      <c r="H70" s="20" t="n">
        <v>1</v>
      </c>
      <c r="I70" s="24" t="n">
        <v>22</v>
      </c>
      <c r="J70" s="24" t="n">
        <v>8</v>
      </c>
      <c r="K70" s="24" t="n">
        <f aca="false">H70*I70</f>
        <v>22</v>
      </c>
      <c r="L70" s="24" t="n">
        <f aca="false">K70-H70*J70</f>
        <v>14</v>
      </c>
      <c r="M70" s="20" t="s">
        <v>50</v>
      </c>
    </row>
    <row r="71" customFormat="false" ht="15" hidden="false" customHeight="false" outlineLevel="0" collapsed="false">
      <c r="A71" s="20" t="s">
        <v>410</v>
      </c>
      <c r="B71" s="23" t="n">
        <v>45691</v>
      </c>
      <c r="C71" s="20" t="n">
        <f aca="false">MONTH(B71)</f>
        <v>2</v>
      </c>
      <c r="D71" s="20" t="s">
        <v>412</v>
      </c>
      <c r="E71" s="20" t="s">
        <v>47</v>
      </c>
      <c r="F71" s="20" t="s">
        <v>54</v>
      </c>
      <c r="G71" s="20" t="s">
        <v>76</v>
      </c>
      <c r="H71" s="20" t="n">
        <v>3</v>
      </c>
      <c r="I71" s="24" t="n">
        <v>32</v>
      </c>
      <c r="J71" s="24" t="n">
        <v>13</v>
      </c>
      <c r="K71" s="24" t="n">
        <f aca="false">H71*I71</f>
        <v>96</v>
      </c>
      <c r="L71" s="24" t="n">
        <f aca="false">K71-H71*J71</f>
        <v>57</v>
      </c>
      <c r="M71" s="20" t="s">
        <v>50</v>
      </c>
    </row>
    <row r="72" customFormat="false" ht="15" hidden="false" customHeight="false" outlineLevel="0" collapsed="false">
      <c r="A72" s="20" t="s">
        <v>1088</v>
      </c>
      <c r="B72" s="23" t="n">
        <v>45691</v>
      </c>
      <c r="C72" s="20" t="n">
        <f aca="false">MONTH(B72)</f>
        <v>2</v>
      </c>
      <c r="D72" s="20" t="s">
        <v>64</v>
      </c>
      <c r="E72" s="20" t="s">
        <v>65</v>
      </c>
      <c r="F72" s="20" t="s">
        <v>110</v>
      </c>
      <c r="G72" s="20" t="s">
        <v>121</v>
      </c>
      <c r="H72" s="20" t="n">
        <v>1</v>
      </c>
      <c r="I72" s="24" t="n">
        <v>21</v>
      </c>
      <c r="J72" s="24" t="n">
        <v>7</v>
      </c>
      <c r="K72" s="24" t="n">
        <f aca="false">H72*I72</f>
        <v>21</v>
      </c>
      <c r="L72" s="24" t="n">
        <f aca="false">K72-H72*J72</f>
        <v>14</v>
      </c>
      <c r="M72" s="20" t="s">
        <v>50</v>
      </c>
    </row>
    <row r="73" customFormat="false" ht="15" hidden="false" customHeight="false" outlineLevel="0" collapsed="false">
      <c r="A73" s="20" t="s">
        <v>831</v>
      </c>
      <c r="B73" s="23" t="n">
        <v>45691</v>
      </c>
      <c r="C73" s="20" t="n">
        <f aca="false">MONTH(B73)</f>
        <v>2</v>
      </c>
      <c r="D73" s="20" t="s">
        <v>634</v>
      </c>
      <c r="E73" s="20" t="s">
        <v>47</v>
      </c>
      <c r="F73" s="20" t="s">
        <v>110</v>
      </c>
      <c r="G73" s="20" t="s">
        <v>236</v>
      </c>
      <c r="H73" s="20" t="n">
        <v>2</v>
      </c>
      <c r="I73" s="24" t="n">
        <v>30</v>
      </c>
      <c r="J73" s="24" t="n">
        <v>11</v>
      </c>
      <c r="K73" s="24" t="n">
        <f aca="false">H73*I73</f>
        <v>60</v>
      </c>
      <c r="L73" s="24" t="n">
        <f aca="false">K73-H73*J73</f>
        <v>38</v>
      </c>
      <c r="M73" s="20" t="s">
        <v>50</v>
      </c>
    </row>
    <row r="74" customFormat="false" ht="15" hidden="false" customHeight="false" outlineLevel="0" collapsed="false">
      <c r="A74" s="20" t="s">
        <v>527</v>
      </c>
      <c r="B74" s="23" t="n">
        <v>45691</v>
      </c>
      <c r="C74" s="20" t="n">
        <f aca="false">MONTH(B74)</f>
        <v>2</v>
      </c>
      <c r="D74" s="20" t="s">
        <v>494</v>
      </c>
      <c r="E74" s="20" t="s">
        <v>47</v>
      </c>
      <c r="F74" s="20" t="s">
        <v>54</v>
      </c>
      <c r="G74" s="20" t="s">
        <v>55</v>
      </c>
      <c r="H74" s="20" t="n">
        <v>2</v>
      </c>
      <c r="I74" s="24" t="n">
        <v>38</v>
      </c>
      <c r="J74" s="24" t="n">
        <v>16</v>
      </c>
      <c r="K74" s="24" t="n">
        <f aca="false">H74*I74</f>
        <v>76</v>
      </c>
      <c r="L74" s="24" t="n">
        <f aca="false">K74-H74*J74</f>
        <v>44</v>
      </c>
      <c r="M74" s="20" t="s">
        <v>50</v>
      </c>
    </row>
    <row r="75" customFormat="false" ht="15" hidden="false" customHeight="false" outlineLevel="0" collapsed="false">
      <c r="A75" s="20" t="s">
        <v>679</v>
      </c>
      <c r="B75" s="23" t="n">
        <v>45691</v>
      </c>
      <c r="C75" s="20" t="n">
        <f aca="false">MONTH(B75)</f>
        <v>2</v>
      </c>
      <c r="D75" s="20" t="s">
        <v>675</v>
      </c>
      <c r="E75" s="20" t="s">
        <v>70</v>
      </c>
      <c r="F75" s="20" t="s">
        <v>54</v>
      </c>
      <c r="G75" s="20" t="s">
        <v>76</v>
      </c>
      <c r="H75" s="20" t="n">
        <v>1</v>
      </c>
      <c r="I75" s="24" t="n">
        <v>32</v>
      </c>
      <c r="J75" s="24" t="n">
        <v>13</v>
      </c>
      <c r="K75" s="24" t="n">
        <f aca="false">H75*I75</f>
        <v>32</v>
      </c>
      <c r="L75" s="24" t="n">
        <f aca="false">K75-H75*J75</f>
        <v>19</v>
      </c>
      <c r="M75" s="20" t="s">
        <v>50</v>
      </c>
    </row>
    <row r="76" customFormat="false" ht="15" hidden="false" customHeight="false" outlineLevel="0" collapsed="false">
      <c r="A76" s="20" t="s">
        <v>1057</v>
      </c>
      <c r="B76" s="23" t="n">
        <v>45692</v>
      </c>
      <c r="C76" s="20" t="n">
        <f aca="false">MONTH(B76)</f>
        <v>2</v>
      </c>
      <c r="D76" s="20" t="s">
        <v>239</v>
      </c>
      <c r="E76" s="20" t="s">
        <v>109</v>
      </c>
      <c r="F76" s="20" t="s">
        <v>81</v>
      </c>
      <c r="G76" s="20" t="s">
        <v>61</v>
      </c>
      <c r="H76" s="20" t="n">
        <v>1</v>
      </c>
      <c r="I76" s="24" t="n">
        <v>35</v>
      </c>
      <c r="J76" s="24" t="n">
        <v>12</v>
      </c>
      <c r="K76" s="24" t="n">
        <f aca="false">H76*I76</f>
        <v>35</v>
      </c>
      <c r="L76" s="24" t="n">
        <f aca="false">K76-H76*J76</f>
        <v>23</v>
      </c>
      <c r="M76" s="20" t="s">
        <v>50</v>
      </c>
    </row>
    <row r="77" customFormat="false" ht="15" hidden="false" customHeight="false" outlineLevel="0" collapsed="false">
      <c r="A77" s="20" t="s">
        <v>1425</v>
      </c>
      <c r="B77" s="23" t="n">
        <v>45693</v>
      </c>
      <c r="C77" s="20" t="n">
        <f aca="false">MONTH(B77)</f>
        <v>2</v>
      </c>
      <c r="D77" s="20" t="s">
        <v>219</v>
      </c>
      <c r="E77" s="20" t="s">
        <v>65</v>
      </c>
      <c r="F77" s="20" t="s">
        <v>54</v>
      </c>
      <c r="G77" s="20" t="s">
        <v>72</v>
      </c>
      <c r="H77" s="20" t="n">
        <v>1</v>
      </c>
      <c r="I77" s="24" t="n">
        <v>24</v>
      </c>
      <c r="J77" s="24" t="n">
        <v>9</v>
      </c>
      <c r="K77" s="24" t="n">
        <f aca="false">H77*I77</f>
        <v>24</v>
      </c>
      <c r="L77" s="24" t="n">
        <f aca="false">K77-H77*J77</f>
        <v>15</v>
      </c>
      <c r="M77" s="20" t="s">
        <v>50</v>
      </c>
    </row>
    <row r="78" customFormat="false" ht="15" hidden="false" customHeight="false" outlineLevel="0" collapsed="false">
      <c r="A78" s="20" t="s">
        <v>1310</v>
      </c>
      <c r="B78" s="23" t="n">
        <v>45693</v>
      </c>
      <c r="C78" s="20" t="n">
        <f aca="false">MONTH(B78)</f>
        <v>2</v>
      </c>
      <c r="D78" s="20" t="s">
        <v>522</v>
      </c>
      <c r="E78" s="20" t="s">
        <v>47</v>
      </c>
      <c r="F78" s="20" t="s">
        <v>54</v>
      </c>
      <c r="G78" s="20" t="s">
        <v>76</v>
      </c>
      <c r="H78" s="20" t="n">
        <v>1</v>
      </c>
      <c r="I78" s="24" t="n">
        <v>32</v>
      </c>
      <c r="J78" s="24" t="n">
        <v>13</v>
      </c>
      <c r="K78" s="24" t="n">
        <f aca="false">H78*I78</f>
        <v>32</v>
      </c>
      <c r="L78" s="24" t="n">
        <f aca="false">K78-H78*J78</f>
        <v>19</v>
      </c>
      <c r="M78" s="20" t="s">
        <v>50</v>
      </c>
    </row>
    <row r="79" customFormat="false" ht="15" hidden="false" customHeight="false" outlineLevel="0" collapsed="false">
      <c r="A79" s="20" t="s">
        <v>1070</v>
      </c>
      <c r="B79" s="23" t="n">
        <v>45694</v>
      </c>
      <c r="C79" s="20" t="n">
        <f aca="false">MONTH(B79)</f>
        <v>2</v>
      </c>
      <c r="D79" s="20" t="s">
        <v>380</v>
      </c>
      <c r="E79" s="20" t="s">
        <v>47</v>
      </c>
      <c r="F79" s="20" t="s">
        <v>110</v>
      </c>
      <c r="G79" s="20" t="s">
        <v>111</v>
      </c>
      <c r="H79" s="20" t="n">
        <v>1</v>
      </c>
      <c r="I79" s="24" t="n">
        <v>16</v>
      </c>
      <c r="J79" s="24" t="n">
        <v>5</v>
      </c>
      <c r="K79" s="24" t="n">
        <f aca="false">H79*I79</f>
        <v>16</v>
      </c>
      <c r="L79" s="24" t="n">
        <f aca="false">K79-H79*J79</f>
        <v>11</v>
      </c>
      <c r="M79" s="20" t="s">
        <v>50</v>
      </c>
    </row>
    <row r="80" customFormat="false" ht="15" hidden="false" customHeight="false" outlineLevel="0" collapsed="false">
      <c r="A80" s="20" t="s">
        <v>1661</v>
      </c>
      <c r="B80" s="23" t="n">
        <v>45695</v>
      </c>
      <c r="C80" s="20" t="n">
        <f aca="false">MONTH(B80)</f>
        <v>2</v>
      </c>
      <c r="D80" s="20" t="s">
        <v>239</v>
      </c>
      <c r="E80" s="20" t="s">
        <v>65</v>
      </c>
      <c r="F80" s="20" t="s">
        <v>110</v>
      </c>
      <c r="G80" s="20" t="s">
        <v>121</v>
      </c>
      <c r="H80" s="20" t="n">
        <v>1</v>
      </c>
      <c r="I80" s="24" t="n">
        <v>21</v>
      </c>
      <c r="J80" s="24" t="n">
        <v>7</v>
      </c>
      <c r="K80" s="24" t="n">
        <f aca="false">H80*I80</f>
        <v>21</v>
      </c>
      <c r="L80" s="24" t="n">
        <f aca="false">K80-H80*J80</f>
        <v>14</v>
      </c>
      <c r="M80" s="20" t="s">
        <v>50</v>
      </c>
    </row>
    <row r="81" customFormat="false" ht="15" hidden="false" customHeight="false" outlineLevel="0" collapsed="false">
      <c r="A81" s="20" t="s">
        <v>404</v>
      </c>
      <c r="B81" s="23" t="n">
        <v>45697</v>
      </c>
      <c r="C81" s="20" t="n">
        <f aca="false">MONTH(B81)</f>
        <v>2</v>
      </c>
      <c r="D81" s="20" t="s">
        <v>143</v>
      </c>
      <c r="E81" s="20" t="s">
        <v>70</v>
      </c>
      <c r="F81" s="20" t="s">
        <v>110</v>
      </c>
      <c r="G81" s="20" t="s">
        <v>236</v>
      </c>
      <c r="H81" s="20" t="n">
        <v>2</v>
      </c>
      <c r="I81" s="24" t="n">
        <v>30</v>
      </c>
      <c r="J81" s="24" t="n">
        <v>11</v>
      </c>
      <c r="K81" s="24" t="n">
        <f aca="false">H81*I81</f>
        <v>60</v>
      </c>
      <c r="L81" s="24" t="n">
        <f aca="false">K81-H81*J81</f>
        <v>38</v>
      </c>
      <c r="M81" s="20" t="s">
        <v>50</v>
      </c>
    </row>
    <row r="82" customFormat="false" ht="15" hidden="false" customHeight="false" outlineLevel="0" collapsed="false">
      <c r="A82" s="20" t="s">
        <v>1153</v>
      </c>
      <c r="B82" s="23" t="n">
        <v>45697</v>
      </c>
      <c r="C82" s="20" t="n">
        <f aca="false">MONTH(B82)</f>
        <v>2</v>
      </c>
      <c r="D82" s="20" t="s">
        <v>624</v>
      </c>
      <c r="E82" s="20" t="s">
        <v>47</v>
      </c>
      <c r="F82" s="20" t="s">
        <v>48</v>
      </c>
      <c r="G82" s="20" t="s">
        <v>144</v>
      </c>
      <c r="H82" s="20" t="n">
        <v>4</v>
      </c>
      <c r="I82" s="24" t="n">
        <v>54</v>
      </c>
      <c r="J82" s="24" t="n">
        <v>24</v>
      </c>
      <c r="K82" s="24" t="n">
        <f aca="false">H82*I82</f>
        <v>216</v>
      </c>
      <c r="L82" s="24" t="n">
        <f aca="false">K82-H82*J82</f>
        <v>120</v>
      </c>
      <c r="M82" s="20" t="s">
        <v>50</v>
      </c>
    </row>
    <row r="83" customFormat="false" ht="15" hidden="false" customHeight="false" outlineLevel="0" collapsed="false">
      <c r="A83" s="20" t="s">
        <v>418</v>
      </c>
      <c r="B83" s="23" t="n">
        <v>45698</v>
      </c>
      <c r="C83" s="20" t="n">
        <f aca="false">MONTH(B83)</f>
        <v>2</v>
      </c>
      <c r="D83" s="20" t="s">
        <v>186</v>
      </c>
      <c r="E83" s="20" t="s">
        <v>47</v>
      </c>
      <c r="F83" s="20" t="s">
        <v>110</v>
      </c>
      <c r="G83" s="20" t="s">
        <v>121</v>
      </c>
      <c r="H83" s="20" t="n">
        <v>1</v>
      </c>
      <c r="I83" s="24" t="n">
        <v>21</v>
      </c>
      <c r="J83" s="24" t="n">
        <v>7</v>
      </c>
      <c r="K83" s="24" t="n">
        <f aca="false">H83*I83</f>
        <v>21</v>
      </c>
      <c r="L83" s="24" t="n">
        <f aca="false">K83-H83*J83</f>
        <v>14</v>
      </c>
      <c r="M83" s="20" t="s">
        <v>50</v>
      </c>
    </row>
    <row r="84" customFormat="false" ht="15" hidden="false" customHeight="false" outlineLevel="0" collapsed="false">
      <c r="A84" s="20" t="s">
        <v>1334</v>
      </c>
      <c r="B84" s="23" t="n">
        <v>45698</v>
      </c>
      <c r="C84" s="20" t="n">
        <f aca="false">MONTH(B84)</f>
        <v>2</v>
      </c>
      <c r="D84" s="20" t="s">
        <v>69</v>
      </c>
      <c r="E84" s="20" t="s">
        <v>47</v>
      </c>
      <c r="F84" s="20" t="s">
        <v>81</v>
      </c>
      <c r="G84" s="20" t="s">
        <v>67</v>
      </c>
      <c r="H84" s="20" t="n">
        <v>2</v>
      </c>
      <c r="I84" s="24" t="n">
        <v>45</v>
      </c>
      <c r="J84" s="24" t="n">
        <v>17</v>
      </c>
      <c r="K84" s="24" t="n">
        <f aca="false">H84*I84</f>
        <v>90</v>
      </c>
      <c r="L84" s="24" t="n">
        <f aca="false">K84-H84*J84</f>
        <v>56</v>
      </c>
      <c r="M84" s="20" t="s">
        <v>50</v>
      </c>
    </row>
    <row r="85" customFormat="false" ht="15" hidden="false" customHeight="false" outlineLevel="0" collapsed="false">
      <c r="A85" s="20" t="s">
        <v>745</v>
      </c>
      <c r="B85" s="23" t="n">
        <v>45698</v>
      </c>
      <c r="C85" s="20" t="n">
        <f aca="false">MONTH(B85)</f>
        <v>2</v>
      </c>
      <c r="D85" s="20" t="s">
        <v>189</v>
      </c>
      <c r="E85" s="20" t="s">
        <v>47</v>
      </c>
      <c r="F85" s="20" t="s">
        <v>81</v>
      </c>
      <c r="G85" s="20" t="s">
        <v>82</v>
      </c>
      <c r="H85" s="20" t="n">
        <v>1</v>
      </c>
      <c r="I85" s="24" t="n">
        <v>22</v>
      </c>
      <c r="J85" s="24" t="n">
        <v>8</v>
      </c>
      <c r="K85" s="24" t="n">
        <f aca="false">H85*I85</f>
        <v>22</v>
      </c>
      <c r="L85" s="24" t="n">
        <f aca="false">K85-H85*J85</f>
        <v>14</v>
      </c>
      <c r="M85" s="20" t="s">
        <v>50</v>
      </c>
    </row>
    <row r="86" customFormat="false" ht="15" hidden="false" customHeight="false" outlineLevel="0" collapsed="false">
      <c r="A86" s="20" t="s">
        <v>741</v>
      </c>
      <c r="B86" s="23" t="n">
        <v>45698</v>
      </c>
      <c r="C86" s="20" t="n">
        <f aca="false">MONTH(B86)</f>
        <v>2</v>
      </c>
      <c r="D86" s="20" t="s">
        <v>129</v>
      </c>
      <c r="E86" s="20" t="s">
        <v>65</v>
      </c>
      <c r="F86" s="20" t="s">
        <v>110</v>
      </c>
      <c r="G86" s="20" t="s">
        <v>121</v>
      </c>
      <c r="H86" s="20" t="n">
        <v>1</v>
      </c>
      <c r="I86" s="24" t="n">
        <v>21</v>
      </c>
      <c r="J86" s="24" t="n">
        <v>7</v>
      </c>
      <c r="K86" s="24" t="n">
        <f aca="false">H86*I86</f>
        <v>21</v>
      </c>
      <c r="L86" s="24" t="n">
        <f aca="false">K86-H86*J86</f>
        <v>14</v>
      </c>
      <c r="M86" s="20" t="s">
        <v>50</v>
      </c>
    </row>
    <row r="87" customFormat="false" ht="15" hidden="false" customHeight="false" outlineLevel="0" collapsed="false">
      <c r="A87" s="20" t="s">
        <v>585</v>
      </c>
      <c r="B87" s="23" t="n">
        <v>45699</v>
      </c>
      <c r="C87" s="20" t="n">
        <f aca="false">MONTH(B87)</f>
        <v>2</v>
      </c>
      <c r="D87" s="20" t="s">
        <v>437</v>
      </c>
      <c r="E87" s="20" t="s">
        <v>65</v>
      </c>
      <c r="F87" s="20" t="s">
        <v>92</v>
      </c>
      <c r="G87" s="20" t="s">
        <v>196</v>
      </c>
      <c r="H87" s="20" t="n">
        <v>1</v>
      </c>
      <c r="I87" s="24" t="n">
        <v>89</v>
      </c>
      <c r="J87" s="24" t="n">
        <v>41</v>
      </c>
      <c r="K87" s="24" t="n">
        <f aca="false">H87*I87</f>
        <v>89</v>
      </c>
      <c r="L87" s="24" t="n">
        <f aca="false">K87-H87*J87</f>
        <v>48</v>
      </c>
      <c r="M87" s="20" t="s">
        <v>50</v>
      </c>
    </row>
    <row r="88" customFormat="false" ht="15" hidden="false" customHeight="false" outlineLevel="0" collapsed="false">
      <c r="A88" s="20" t="s">
        <v>1039</v>
      </c>
      <c r="B88" s="23" t="n">
        <v>45700</v>
      </c>
      <c r="C88" s="20" t="n">
        <f aca="false">MONTH(B88)</f>
        <v>2</v>
      </c>
      <c r="D88" s="20" t="s">
        <v>250</v>
      </c>
      <c r="E88" s="20" t="s">
        <v>70</v>
      </c>
      <c r="F88" s="20" t="s">
        <v>110</v>
      </c>
      <c r="G88" s="20" t="s">
        <v>236</v>
      </c>
      <c r="H88" s="20" t="n">
        <v>1</v>
      </c>
      <c r="I88" s="24" t="n">
        <v>30</v>
      </c>
      <c r="J88" s="24" t="n">
        <v>11</v>
      </c>
      <c r="K88" s="24" t="n">
        <f aca="false">H88*I88</f>
        <v>30</v>
      </c>
      <c r="L88" s="24" t="n">
        <f aca="false">K88-H88*J88</f>
        <v>19</v>
      </c>
      <c r="M88" s="20" t="s">
        <v>50</v>
      </c>
    </row>
    <row r="89" customFormat="false" ht="15" hidden="false" customHeight="false" outlineLevel="0" collapsed="false">
      <c r="A89" s="20" t="s">
        <v>354</v>
      </c>
      <c r="B89" s="23" t="n">
        <v>45702</v>
      </c>
      <c r="C89" s="20" t="n">
        <f aca="false">MONTH(B89)</f>
        <v>2</v>
      </c>
      <c r="D89" s="20" t="s">
        <v>174</v>
      </c>
      <c r="E89" s="20" t="s">
        <v>47</v>
      </c>
      <c r="F89" s="20" t="s">
        <v>48</v>
      </c>
      <c r="G89" s="20" t="s">
        <v>116</v>
      </c>
      <c r="H89" s="20" t="n">
        <v>2</v>
      </c>
      <c r="I89" s="24" t="n">
        <v>28</v>
      </c>
      <c r="J89" s="24" t="n">
        <v>9</v>
      </c>
      <c r="K89" s="24" t="n">
        <f aca="false">H89*I89</f>
        <v>56</v>
      </c>
      <c r="L89" s="24" t="n">
        <f aca="false">K89-H89*J89</f>
        <v>38</v>
      </c>
      <c r="M89" s="20" t="s">
        <v>50</v>
      </c>
    </row>
    <row r="90" customFormat="false" ht="15" hidden="false" customHeight="false" outlineLevel="0" collapsed="false">
      <c r="A90" s="20" t="s">
        <v>352</v>
      </c>
      <c r="B90" s="23" t="n">
        <v>45702</v>
      </c>
      <c r="C90" s="20" t="n">
        <f aca="false">MONTH(B90)</f>
        <v>2</v>
      </c>
      <c r="D90" s="20" t="s">
        <v>214</v>
      </c>
      <c r="E90" s="20" t="s">
        <v>47</v>
      </c>
      <c r="F90" s="20" t="s">
        <v>92</v>
      </c>
      <c r="G90" s="20" t="s">
        <v>93</v>
      </c>
      <c r="H90" s="20" t="n">
        <v>2</v>
      </c>
      <c r="I90" s="24" t="n">
        <v>15</v>
      </c>
      <c r="J90" s="24" t="n">
        <v>5</v>
      </c>
      <c r="K90" s="24" t="n">
        <f aca="false">H90*I90</f>
        <v>30</v>
      </c>
      <c r="L90" s="24" t="n">
        <f aca="false">K90-H90*J90</f>
        <v>20</v>
      </c>
      <c r="M90" s="20" t="s">
        <v>50</v>
      </c>
    </row>
    <row r="91" customFormat="false" ht="15" hidden="false" customHeight="false" outlineLevel="0" collapsed="false">
      <c r="A91" s="20" t="s">
        <v>1422</v>
      </c>
      <c r="B91" s="23" t="n">
        <v>45702</v>
      </c>
      <c r="C91" s="20" t="n">
        <f aca="false">MONTH(B91)</f>
        <v>2</v>
      </c>
      <c r="D91" s="20" t="s">
        <v>97</v>
      </c>
      <c r="E91" s="20" t="s">
        <v>70</v>
      </c>
      <c r="F91" s="20" t="s">
        <v>110</v>
      </c>
      <c r="G91" s="20" t="s">
        <v>236</v>
      </c>
      <c r="H91" s="20" t="n">
        <v>1</v>
      </c>
      <c r="I91" s="24" t="n">
        <v>30</v>
      </c>
      <c r="J91" s="24" t="n">
        <v>11</v>
      </c>
      <c r="K91" s="24" t="n">
        <f aca="false">H91*I91</f>
        <v>30</v>
      </c>
      <c r="L91" s="24" t="n">
        <f aca="false">K91-H91*J91</f>
        <v>19</v>
      </c>
      <c r="M91" s="20" t="s">
        <v>50</v>
      </c>
    </row>
    <row r="92" customFormat="false" ht="15" hidden="false" customHeight="false" outlineLevel="0" collapsed="false">
      <c r="A92" s="20" t="s">
        <v>1065</v>
      </c>
      <c r="B92" s="23" t="n">
        <v>45703</v>
      </c>
      <c r="C92" s="20" t="n">
        <f aca="false">MONTH(B92)</f>
        <v>2</v>
      </c>
      <c r="D92" s="20" t="s">
        <v>186</v>
      </c>
      <c r="E92" s="20" t="s">
        <v>47</v>
      </c>
      <c r="F92" s="20" t="s">
        <v>54</v>
      </c>
      <c r="G92" s="20" t="s">
        <v>55</v>
      </c>
      <c r="H92" s="20" t="n">
        <v>2</v>
      </c>
      <c r="I92" s="24" t="n">
        <v>38</v>
      </c>
      <c r="J92" s="24" t="n">
        <v>16</v>
      </c>
      <c r="K92" s="24" t="n">
        <f aca="false">H92*I92</f>
        <v>76</v>
      </c>
      <c r="L92" s="24" t="n">
        <f aca="false">K92-H92*J92</f>
        <v>44</v>
      </c>
      <c r="M92" s="20" t="s">
        <v>50</v>
      </c>
    </row>
    <row r="93" customFormat="false" ht="15" hidden="false" customHeight="false" outlineLevel="0" collapsed="false">
      <c r="A93" s="20" t="s">
        <v>1086</v>
      </c>
      <c r="B93" s="23" t="n">
        <v>45704</v>
      </c>
      <c r="C93" s="20" t="n">
        <f aca="false">MONTH(B93)</f>
        <v>2</v>
      </c>
      <c r="D93" s="20" t="s">
        <v>195</v>
      </c>
      <c r="E93" s="20" t="s">
        <v>65</v>
      </c>
      <c r="F93" s="20" t="s">
        <v>48</v>
      </c>
      <c r="G93" s="20" t="s">
        <v>144</v>
      </c>
      <c r="H93" s="20" t="n">
        <v>1</v>
      </c>
      <c r="I93" s="24" t="n">
        <v>54</v>
      </c>
      <c r="J93" s="24" t="n">
        <v>24</v>
      </c>
      <c r="K93" s="24" t="n">
        <f aca="false">H93*I93</f>
        <v>54</v>
      </c>
      <c r="L93" s="24" t="n">
        <f aca="false">K93-H93*J93</f>
        <v>30</v>
      </c>
      <c r="M93" s="20" t="s">
        <v>50</v>
      </c>
    </row>
    <row r="94" customFormat="false" ht="15" hidden="false" customHeight="false" outlineLevel="0" collapsed="false">
      <c r="A94" s="20" t="s">
        <v>647</v>
      </c>
      <c r="B94" s="23" t="n">
        <v>45704</v>
      </c>
      <c r="C94" s="20" t="n">
        <f aca="false">MONTH(B94)</f>
        <v>2</v>
      </c>
      <c r="D94" s="20" t="s">
        <v>457</v>
      </c>
      <c r="E94" s="20" t="s">
        <v>65</v>
      </c>
      <c r="F94" s="20" t="s">
        <v>48</v>
      </c>
      <c r="G94" s="20" t="s">
        <v>49</v>
      </c>
      <c r="H94" s="20" t="n">
        <v>1</v>
      </c>
      <c r="I94" s="24" t="n">
        <v>18</v>
      </c>
      <c r="J94" s="24" t="n">
        <v>5</v>
      </c>
      <c r="K94" s="24" t="n">
        <f aca="false">H94*I94</f>
        <v>18</v>
      </c>
      <c r="L94" s="24" t="n">
        <f aca="false">K94-H94*J94</f>
        <v>13</v>
      </c>
      <c r="M94" s="20" t="s">
        <v>50</v>
      </c>
    </row>
    <row r="95" customFormat="false" ht="15" hidden="false" customHeight="false" outlineLevel="0" collapsed="false">
      <c r="A95" s="20" t="s">
        <v>1387</v>
      </c>
      <c r="B95" s="23" t="n">
        <v>45705</v>
      </c>
      <c r="C95" s="20" t="n">
        <f aca="false">MONTH(B95)</f>
        <v>2</v>
      </c>
      <c r="D95" s="20" t="s">
        <v>75</v>
      </c>
      <c r="E95" s="20" t="s">
        <v>70</v>
      </c>
      <c r="F95" s="20" t="s">
        <v>81</v>
      </c>
      <c r="G95" s="20" t="s">
        <v>67</v>
      </c>
      <c r="H95" s="20" t="n">
        <v>1</v>
      </c>
      <c r="I95" s="24" t="n">
        <v>45</v>
      </c>
      <c r="J95" s="24" t="n">
        <v>17</v>
      </c>
      <c r="K95" s="24" t="n">
        <f aca="false">H95*I95</f>
        <v>45</v>
      </c>
      <c r="L95" s="24" t="n">
        <f aca="false">K95-H95*J95</f>
        <v>28</v>
      </c>
      <c r="M95" s="20" t="s">
        <v>50</v>
      </c>
    </row>
    <row r="96" customFormat="false" ht="15" hidden="false" customHeight="false" outlineLevel="0" collapsed="false">
      <c r="A96" s="20" t="s">
        <v>420</v>
      </c>
      <c r="B96" s="23" t="n">
        <v>45705</v>
      </c>
      <c r="C96" s="20" t="n">
        <f aca="false">MONTH(B96)</f>
        <v>2</v>
      </c>
      <c r="D96" s="20" t="s">
        <v>422</v>
      </c>
      <c r="E96" s="20" t="s">
        <v>70</v>
      </c>
      <c r="F96" s="20" t="s">
        <v>92</v>
      </c>
      <c r="G96" s="20" t="s">
        <v>93</v>
      </c>
      <c r="H96" s="20" t="n">
        <v>2</v>
      </c>
      <c r="I96" s="24" t="n">
        <v>15</v>
      </c>
      <c r="J96" s="24" t="n">
        <v>5</v>
      </c>
      <c r="K96" s="24" t="n">
        <f aca="false">H96*I96</f>
        <v>30</v>
      </c>
      <c r="L96" s="24" t="n">
        <f aca="false">K96-H96*J96</f>
        <v>20</v>
      </c>
      <c r="M96" s="20" t="s">
        <v>50</v>
      </c>
    </row>
    <row r="97" customFormat="false" ht="15" hidden="false" customHeight="false" outlineLevel="0" collapsed="false">
      <c r="A97" s="20" t="s">
        <v>875</v>
      </c>
      <c r="B97" s="23" t="n">
        <v>45705</v>
      </c>
      <c r="C97" s="20" t="n">
        <f aca="false">MONTH(B97)</f>
        <v>2</v>
      </c>
      <c r="D97" s="20" t="s">
        <v>104</v>
      </c>
      <c r="E97" s="20" t="s">
        <v>47</v>
      </c>
      <c r="F97" s="20" t="s">
        <v>81</v>
      </c>
      <c r="G97" s="20" t="s">
        <v>61</v>
      </c>
      <c r="H97" s="20" t="n">
        <v>1</v>
      </c>
      <c r="I97" s="24" t="n">
        <v>35</v>
      </c>
      <c r="J97" s="24" t="n">
        <v>12</v>
      </c>
      <c r="K97" s="24" t="n">
        <f aca="false">H97*I97</f>
        <v>35</v>
      </c>
      <c r="L97" s="24" t="n">
        <f aca="false">K97-H97*J97</f>
        <v>23</v>
      </c>
      <c r="M97" s="20" t="s">
        <v>50</v>
      </c>
    </row>
    <row r="98" customFormat="false" ht="15" hidden="false" customHeight="false" outlineLevel="0" collapsed="false">
      <c r="A98" s="20" t="s">
        <v>1447</v>
      </c>
      <c r="B98" s="23" t="n">
        <v>45706</v>
      </c>
      <c r="C98" s="20" t="n">
        <f aca="false">MONTH(B98)</f>
        <v>2</v>
      </c>
      <c r="D98" s="20" t="s">
        <v>476</v>
      </c>
      <c r="E98" s="20" t="s">
        <v>59</v>
      </c>
      <c r="F98" s="20" t="s">
        <v>81</v>
      </c>
      <c r="G98" s="20" t="s">
        <v>82</v>
      </c>
      <c r="H98" s="20" t="n">
        <v>1</v>
      </c>
      <c r="I98" s="24" t="n">
        <v>22</v>
      </c>
      <c r="J98" s="24" t="n">
        <v>8</v>
      </c>
      <c r="K98" s="24" t="n">
        <f aca="false">H98*I98</f>
        <v>22</v>
      </c>
      <c r="L98" s="24" t="n">
        <f aca="false">K98-H98*J98</f>
        <v>14</v>
      </c>
      <c r="M98" s="20" t="s">
        <v>50</v>
      </c>
    </row>
    <row r="99" customFormat="false" ht="15" hidden="false" customHeight="false" outlineLevel="0" collapsed="false">
      <c r="A99" s="20" t="s">
        <v>1524</v>
      </c>
      <c r="B99" s="23" t="n">
        <v>45706</v>
      </c>
      <c r="C99" s="20" t="n">
        <f aca="false">MONTH(B99)</f>
        <v>2</v>
      </c>
      <c r="D99" s="20" t="s">
        <v>344</v>
      </c>
      <c r="E99" s="20" t="s">
        <v>47</v>
      </c>
      <c r="F99" s="20" t="s">
        <v>54</v>
      </c>
      <c r="G99" s="20" t="s">
        <v>55</v>
      </c>
      <c r="H99" s="20" t="n">
        <v>3</v>
      </c>
      <c r="I99" s="24" t="n">
        <v>38</v>
      </c>
      <c r="J99" s="24" t="n">
        <v>16</v>
      </c>
      <c r="K99" s="24" t="n">
        <f aca="false">H99*I99</f>
        <v>114</v>
      </c>
      <c r="L99" s="24" t="n">
        <f aca="false">K99-H99*J99</f>
        <v>66</v>
      </c>
      <c r="M99" s="20" t="s">
        <v>50</v>
      </c>
    </row>
    <row r="100" customFormat="false" ht="15" hidden="false" customHeight="false" outlineLevel="0" collapsed="false">
      <c r="A100" s="20" t="s">
        <v>601</v>
      </c>
      <c r="B100" s="23" t="n">
        <v>45707</v>
      </c>
      <c r="C100" s="20" t="n">
        <f aca="false">MONTH(B100)</f>
        <v>2</v>
      </c>
      <c r="D100" s="20" t="s">
        <v>557</v>
      </c>
      <c r="E100" s="20" t="s">
        <v>70</v>
      </c>
      <c r="F100" s="20" t="s">
        <v>81</v>
      </c>
      <c r="G100" s="20" t="s">
        <v>61</v>
      </c>
      <c r="H100" s="20" t="n">
        <v>1</v>
      </c>
      <c r="I100" s="24" t="n">
        <v>35</v>
      </c>
      <c r="J100" s="24" t="n">
        <v>12</v>
      </c>
      <c r="K100" s="24" t="n">
        <f aca="false">H100*I100</f>
        <v>35</v>
      </c>
      <c r="L100" s="24" t="n">
        <f aca="false">K100-H100*J100</f>
        <v>23</v>
      </c>
      <c r="M100" s="20" t="s">
        <v>50</v>
      </c>
    </row>
    <row r="101" customFormat="false" ht="15" hidden="false" customHeight="false" outlineLevel="0" collapsed="false">
      <c r="A101" s="20" t="s">
        <v>860</v>
      </c>
      <c r="B101" s="23" t="n">
        <v>45707</v>
      </c>
      <c r="C101" s="20" t="n">
        <f aca="false">MONTH(B101)</f>
        <v>2</v>
      </c>
      <c r="D101" s="20" t="s">
        <v>362</v>
      </c>
      <c r="E101" s="20" t="s">
        <v>109</v>
      </c>
      <c r="F101" s="20" t="s">
        <v>48</v>
      </c>
      <c r="G101" s="20" t="s">
        <v>49</v>
      </c>
      <c r="H101" s="20" t="n">
        <v>2</v>
      </c>
      <c r="I101" s="24" t="n">
        <v>18</v>
      </c>
      <c r="J101" s="24" t="n">
        <v>5</v>
      </c>
      <c r="K101" s="24" t="n">
        <f aca="false">H101*I101</f>
        <v>36</v>
      </c>
      <c r="L101" s="24" t="n">
        <f aca="false">K101-H101*J101</f>
        <v>26</v>
      </c>
      <c r="M101" s="20" t="s">
        <v>50</v>
      </c>
    </row>
    <row r="102" customFormat="false" ht="15" hidden="false" customHeight="false" outlineLevel="0" collapsed="false">
      <c r="A102" s="20" t="s">
        <v>1382</v>
      </c>
      <c r="B102" s="23" t="n">
        <v>45708</v>
      </c>
      <c r="C102" s="20" t="n">
        <f aca="false">MONTH(B102)</f>
        <v>2</v>
      </c>
      <c r="D102" s="20" t="s">
        <v>326</v>
      </c>
      <c r="E102" s="20" t="s">
        <v>47</v>
      </c>
      <c r="F102" s="20" t="s">
        <v>48</v>
      </c>
      <c r="G102" s="20" t="s">
        <v>49</v>
      </c>
      <c r="H102" s="20" t="n">
        <v>1</v>
      </c>
      <c r="I102" s="24" t="n">
        <v>18</v>
      </c>
      <c r="J102" s="24" t="n">
        <v>5</v>
      </c>
      <c r="K102" s="24" t="n">
        <f aca="false">H102*I102</f>
        <v>18</v>
      </c>
      <c r="L102" s="24" t="n">
        <f aca="false">K102-H102*J102</f>
        <v>13</v>
      </c>
      <c r="M102" s="20" t="s">
        <v>50</v>
      </c>
    </row>
    <row r="103" customFormat="false" ht="15" hidden="false" customHeight="false" outlineLevel="0" collapsed="false">
      <c r="A103" s="20" t="s">
        <v>956</v>
      </c>
      <c r="B103" s="23" t="n">
        <v>45708</v>
      </c>
      <c r="C103" s="20" t="n">
        <f aca="false">MONTH(B103)</f>
        <v>2</v>
      </c>
      <c r="D103" s="20" t="s">
        <v>192</v>
      </c>
      <c r="E103" s="20" t="s">
        <v>59</v>
      </c>
      <c r="F103" s="20" t="s">
        <v>54</v>
      </c>
      <c r="G103" s="20" t="s">
        <v>55</v>
      </c>
      <c r="H103" s="20" t="n">
        <v>2</v>
      </c>
      <c r="I103" s="24" t="n">
        <v>38</v>
      </c>
      <c r="J103" s="24" t="n">
        <v>16</v>
      </c>
      <c r="K103" s="24" t="n">
        <f aca="false">H103*I103</f>
        <v>76</v>
      </c>
      <c r="L103" s="24" t="n">
        <f aca="false">K103-H103*J103</f>
        <v>44</v>
      </c>
      <c r="M103" s="20" t="s">
        <v>50</v>
      </c>
    </row>
    <row r="104" customFormat="false" ht="15" hidden="false" customHeight="false" outlineLevel="0" collapsed="false">
      <c r="A104" s="20" t="s">
        <v>750</v>
      </c>
      <c r="B104" s="23" t="n">
        <v>45709</v>
      </c>
      <c r="C104" s="20" t="n">
        <f aca="false">MONTH(B104)</f>
        <v>2</v>
      </c>
      <c r="D104" s="20" t="s">
        <v>424</v>
      </c>
      <c r="E104" s="20" t="s">
        <v>70</v>
      </c>
      <c r="F104" s="20" t="s">
        <v>54</v>
      </c>
      <c r="G104" s="20" t="s">
        <v>55</v>
      </c>
      <c r="H104" s="20" t="n">
        <v>1</v>
      </c>
      <c r="I104" s="24" t="n">
        <v>38</v>
      </c>
      <c r="J104" s="24" t="n">
        <v>16</v>
      </c>
      <c r="K104" s="24" t="n">
        <f aca="false">H104*I104</f>
        <v>38</v>
      </c>
      <c r="L104" s="24" t="n">
        <f aca="false">K104-H104*J104</f>
        <v>22</v>
      </c>
      <c r="M104" s="20" t="s">
        <v>50</v>
      </c>
    </row>
    <row r="105" customFormat="false" ht="15" hidden="false" customHeight="false" outlineLevel="0" collapsed="false">
      <c r="A105" s="20" t="s">
        <v>1085</v>
      </c>
      <c r="B105" s="23" t="n">
        <v>45709</v>
      </c>
      <c r="C105" s="20" t="n">
        <f aca="false">MONTH(B105)</f>
        <v>2</v>
      </c>
      <c r="D105" s="20" t="s">
        <v>476</v>
      </c>
      <c r="E105" s="20" t="s">
        <v>47</v>
      </c>
      <c r="F105" s="20" t="s">
        <v>81</v>
      </c>
      <c r="G105" s="20" t="s">
        <v>82</v>
      </c>
      <c r="H105" s="20" t="n">
        <v>1</v>
      </c>
      <c r="I105" s="24" t="n">
        <v>22</v>
      </c>
      <c r="J105" s="24" t="n">
        <v>8</v>
      </c>
      <c r="K105" s="24" t="n">
        <f aca="false">H105*I105</f>
        <v>22</v>
      </c>
      <c r="L105" s="24" t="n">
        <f aca="false">K105-H105*J105</f>
        <v>14</v>
      </c>
      <c r="M105" s="20" t="s">
        <v>50</v>
      </c>
    </row>
    <row r="106" customFormat="false" ht="15" hidden="false" customHeight="false" outlineLevel="0" collapsed="false">
      <c r="A106" s="20" t="s">
        <v>1094</v>
      </c>
      <c r="B106" s="23" t="n">
        <v>45709</v>
      </c>
      <c r="C106" s="20" t="n">
        <f aca="false">MONTH(B106)</f>
        <v>2</v>
      </c>
      <c r="D106" s="20" t="s">
        <v>239</v>
      </c>
      <c r="E106" s="20" t="s">
        <v>65</v>
      </c>
      <c r="F106" s="20" t="s">
        <v>81</v>
      </c>
      <c r="G106" s="20" t="s">
        <v>67</v>
      </c>
      <c r="H106" s="20" t="n">
        <v>1</v>
      </c>
      <c r="I106" s="24" t="n">
        <v>45</v>
      </c>
      <c r="J106" s="24" t="n">
        <v>17</v>
      </c>
      <c r="K106" s="24" t="n">
        <f aca="false">H106*I106</f>
        <v>45</v>
      </c>
      <c r="L106" s="24" t="n">
        <f aca="false">K106-H106*J106</f>
        <v>28</v>
      </c>
      <c r="M106" s="20" t="s">
        <v>50</v>
      </c>
    </row>
    <row r="107" customFormat="false" ht="15" hidden="false" customHeight="false" outlineLevel="0" collapsed="false">
      <c r="A107" s="20" t="s">
        <v>1476</v>
      </c>
      <c r="B107" s="23" t="n">
        <v>45709</v>
      </c>
      <c r="C107" s="20" t="n">
        <f aca="false">MONTH(B107)</f>
        <v>2</v>
      </c>
      <c r="D107" s="20" t="s">
        <v>174</v>
      </c>
      <c r="E107" s="20" t="s">
        <v>59</v>
      </c>
      <c r="F107" s="20" t="s">
        <v>48</v>
      </c>
      <c r="G107" s="20" t="s">
        <v>49</v>
      </c>
      <c r="H107" s="20" t="n">
        <v>2</v>
      </c>
      <c r="I107" s="24" t="n">
        <v>18</v>
      </c>
      <c r="J107" s="24" t="n">
        <v>5</v>
      </c>
      <c r="K107" s="24" t="n">
        <f aca="false">H107*I107</f>
        <v>36</v>
      </c>
      <c r="L107" s="24" t="n">
        <f aca="false">K107-H107*J107</f>
        <v>26</v>
      </c>
      <c r="M107" s="20" t="s">
        <v>112</v>
      </c>
    </row>
    <row r="108" customFormat="false" ht="15" hidden="false" customHeight="false" outlineLevel="0" collapsed="false">
      <c r="A108" s="20" t="s">
        <v>1191</v>
      </c>
      <c r="B108" s="23" t="n">
        <v>45712</v>
      </c>
      <c r="C108" s="20" t="n">
        <f aca="false">MONTH(B108)</f>
        <v>2</v>
      </c>
      <c r="D108" s="20" t="s">
        <v>86</v>
      </c>
      <c r="E108" s="20" t="s">
        <v>47</v>
      </c>
      <c r="F108" s="20" t="s">
        <v>110</v>
      </c>
      <c r="G108" s="20" t="s">
        <v>111</v>
      </c>
      <c r="H108" s="20" t="n">
        <v>2</v>
      </c>
      <c r="I108" s="24" t="n">
        <v>16</v>
      </c>
      <c r="J108" s="24" t="n">
        <v>5</v>
      </c>
      <c r="K108" s="24" t="n">
        <f aca="false">H108*I108</f>
        <v>32</v>
      </c>
      <c r="L108" s="24" t="n">
        <f aca="false">K108-H108*J108</f>
        <v>22</v>
      </c>
      <c r="M108" s="20" t="s">
        <v>50</v>
      </c>
    </row>
    <row r="109" customFormat="false" ht="15" hidden="false" customHeight="false" outlineLevel="0" collapsed="false">
      <c r="A109" s="20" t="s">
        <v>993</v>
      </c>
      <c r="B109" s="23" t="n">
        <v>45712</v>
      </c>
      <c r="C109" s="20" t="n">
        <f aca="false">MONTH(B109)</f>
        <v>2</v>
      </c>
      <c r="D109" s="20" t="s">
        <v>147</v>
      </c>
      <c r="E109" s="20" t="s">
        <v>47</v>
      </c>
      <c r="F109" s="20" t="s">
        <v>48</v>
      </c>
      <c r="G109" s="20" t="s">
        <v>49</v>
      </c>
      <c r="H109" s="20" t="n">
        <v>1</v>
      </c>
      <c r="I109" s="24" t="n">
        <v>18</v>
      </c>
      <c r="J109" s="24" t="n">
        <v>5</v>
      </c>
      <c r="K109" s="24" t="n">
        <f aca="false">H109*I109</f>
        <v>18</v>
      </c>
      <c r="L109" s="24" t="n">
        <f aca="false">K109-H109*J109</f>
        <v>13</v>
      </c>
      <c r="M109" s="20" t="s">
        <v>50</v>
      </c>
    </row>
    <row r="110" customFormat="false" ht="15" hidden="false" customHeight="false" outlineLevel="0" collapsed="false">
      <c r="A110" s="20" t="s">
        <v>485</v>
      </c>
      <c r="B110" s="23" t="n">
        <v>45712</v>
      </c>
      <c r="C110" s="20" t="n">
        <f aca="false">MONTH(B110)</f>
        <v>2</v>
      </c>
      <c r="D110" s="20" t="s">
        <v>486</v>
      </c>
      <c r="E110" s="20" t="s">
        <v>70</v>
      </c>
      <c r="F110" s="20" t="s">
        <v>48</v>
      </c>
      <c r="G110" s="20" t="s">
        <v>49</v>
      </c>
      <c r="H110" s="20" t="n">
        <v>3</v>
      </c>
      <c r="I110" s="24" t="n">
        <v>18</v>
      </c>
      <c r="J110" s="24" t="n">
        <v>5</v>
      </c>
      <c r="K110" s="24" t="n">
        <f aca="false">H110*I110</f>
        <v>54</v>
      </c>
      <c r="L110" s="24" t="n">
        <f aca="false">K110-H110*J110</f>
        <v>39</v>
      </c>
      <c r="M110" s="20" t="s">
        <v>50</v>
      </c>
    </row>
    <row r="111" customFormat="false" ht="15" hidden="false" customHeight="false" outlineLevel="0" collapsed="false">
      <c r="A111" s="20" t="s">
        <v>926</v>
      </c>
      <c r="B111" s="23" t="n">
        <v>45713</v>
      </c>
      <c r="C111" s="20" t="n">
        <f aca="false">MONTH(B111)</f>
        <v>2</v>
      </c>
      <c r="D111" s="20" t="s">
        <v>125</v>
      </c>
      <c r="E111" s="20" t="s">
        <v>65</v>
      </c>
      <c r="F111" s="20" t="s">
        <v>54</v>
      </c>
      <c r="G111" s="20" t="s">
        <v>76</v>
      </c>
      <c r="H111" s="20" t="n">
        <v>2</v>
      </c>
      <c r="I111" s="24" t="n">
        <v>32</v>
      </c>
      <c r="J111" s="24" t="n">
        <v>13</v>
      </c>
      <c r="K111" s="24" t="n">
        <f aca="false">H111*I111</f>
        <v>64</v>
      </c>
      <c r="L111" s="24" t="n">
        <f aca="false">K111-H111*J111</f>
        <v>38</v>
      </c>
      <c r="M111" s="20" t="s">
        <v>50</v>
      </c>
    </row>
    <row r="112" customFormat="false" ht="15" hidden="false" customHeight="false" outlineLevel="0" collapsed="false">
      <c r="A112" s="20" t="s">
        <v>1143</v>
      </c>
      <c r="B112" s="23" t="n">
        <v>45714</v>
      </c>
      <c r="C112" s="20" t="n">
        <f aca="false">MONTH(B112)</f>
        <v>2</v>
      </c>
      <c r="D112" s="20" t="s">
        <v>428</v>
      </c>
      <c r="E112" s="20" t="s">
        <v>70</v>
      </c>
      <c r="F112" s="20" t="s">
        <v>81</v>
      </c>
      <c r="G112" s="20" t="s">
        <v>82</v>
      </c>
      <c r="H112" s="20" t="n">
        <v>1</v>
      </c>
      <c r="I112" s="24" t="n">
        <v>22</v>
      </c>
      <c r="J112" s="24" t="n">
        <v>8</v>
      </c>
      <c r="K112" s="24" t="n">
        <f aca="false">H112*I112</f>
        <v>22</v>
      </c>
      <c r="L112" s="24" t="n">
        <f aca="false">K112-H112*J112</f>
        <v>14</v>
      </c>
      <c r="M112" s="20" t="s">
        <v>50</v>
      </c>
    </row>
    <row r="113" customFormat="false" ht="15" hidden="false" customHeight="false" outlineLevel="0" collapsed="false">
      <c r="A113" s="20" t="s">
        <v>1531</v>
      </c>
      <c r="B113" s="23" t="n">
        <v>45714</v>
      </c>
      <c r="C113" s="20" t="n">
        <f aca="false">MONTH(B113)</f>
        <v>2</v>
      </c>
      <c r="D113" s="20" t="s">
        <v>367</v>
      </c>
      <c r="E113" s="20" t="s">
        <v>65</v>
      </c>
      <c r="F113" s="20" t="s">
        <v>81</v>
      </c>
      <c r="G113" s="20" t="s">
        <v>82</v>
      </c>
      <c r="H113" s="20" t="n">
        <v>1</v>
      </c>
      <c r="I113" s="24" t="n">
        <v>22</v>
      </c>
      <c r="J113" s="24" t="n">
        <v>8</v>
      </c>
      <c r="K113" s="24" t="n">
        <f aca="false">H113*I113</f>
        <v>22</v>
      </c>
      <c r="L113" s="24" t="n">
        <f aca="false">K113-H113*J113</f>
        <v>14</v>
      </c>
      <c r="M113" s="20" t="s">
        <v>50</v>
      </c>
    </row>
    <row r="114" customFormat="false" ht="15" hidden="false" customHeight="false" outlineLevel="0" collapsed="false">
      <c r="A114" s="20" t="s">
        <v>694</v>
      </c>
      <c r="B114" s="23" t="n">
        <v>45714</v>
      </c>
      <c r="C114" s="20" t="n">
        <f aca="false">MONTH(B114)</f>
        <v>2</v>
      </c>
      <c r="D114" s="20" t="s">
        <v>624</v>
      </c>
      <c r="E114" s="20" t="s">
        <v>47</v>
      </c>
      <c r="F114" s="20" t="s">
        <v>110</v>
      </c>
      <c r="G114" s="20" t="s">
        <v>121</v>
      </c>
      <c r="H114" s="20" t="n">
        <v>1</v>
      </c>
      <c r="I114" s="24" t="n">
        <v>21</v>
      </c>
      <c r="J114" s="24" t="n">
        <v>7</v>
      </c>
      <c r="K114" s="24" t="n">
        <f aca="false">H114*I114</f>
        <v>21</v>
      </c>
      <c r="L114" s="24" t="n">
        <f aca="false">K114-H114*J114</f>
        <v>14</v>
      </c>
      <c r="M114" s="20" t="s">
        <v>50</v>
      </c>
    </row>
    <row r="115" customFormat="false" ht="15" hidden="false" customHeight="false" outlineLevel="0" collapsed="false">
      <c r="A115" s="20" t="s">
        <v>433</v>
      </c>
      <c r="B115" s="23" t="n">
        <v>45716</v>
      </c>
      <c r="C115" s="20" t="n">
        <f aca="false">MONTH(B115)</f>
        <v>2</v>
      </c>
      <c r="D115" s="20" t="s">
        <v>318</v>
      </c>
      <c r="E115" s="20" t="s">
        <v>47</v>
      </c>
      <c r="F115" s="20" t="s">
        <v>92</v>
      </c>
      <c r="G115" s="20" t="s">
        <v>105</v>
      </c>
      <c r="H115" s="20" t="n">
        <v>2</v>
      </c>
      <c r="I115" s="24" t="n">
        <v>49</v>
      </c>
      <c r="J115" s="24" t="n">
        <v>22</v>
      </c>
      <c r="K115" s="24" t="n">
        <f aca="false">H115*I115</f>
        <v>98</v>
      </c>
      <c r="L115" s="24" t="n">
        <f aca="false">K115-H115*J115</f>
        <v>54</v>
      </c>
      <c r="M115" s="20" t="s">
        <v>50</v>
      </c>
    </row>
    <row r="116" customFormat="false" ht="15" hidden="false" customHeight="false" outlineLevel="0" collapsed="false">
      <c r="A116" s="20" t="s">
        <v>1596</v>
      </c>
      <c r="B116" s="23" t="n">
        <v>45716</v>
      </c>
      <c r="C116" s="20" t="n">
        <f aca="false">MONTH(B116)</f>
        <v>2</v>
      </c>
      <c r="D116" s="20" t="s">
        <v>519</v>
      </c>
      <c r="E116" s="20" t="s">
        <v>47</v>
      </c>
      <c r="F116" s="20" t="s">
        <v>81</v>
      </c>
      <c r="G116" s="20" t="s">
        <v>61</v>
      </c>
      <c r="H116" s="20" t="n">
        <v>1</v>
      </c>
      <c r="I116" s="24" t="n">
        <v>35</v>
      </c>
      <c r="J116" s="24" t="n">
        <v>12</v>
      </c>
      <c r="K116" s="24" t="n">
        <f aca="false">H116*I116</f>
        <v>35</v>
      </c>
      <c r="L116" s="24" t="n">
        <f aca="false">K116-H116*J116</f>
        <v>23</v>
      </c>
      <c r="M116" s="20" t="s">
        <v>50</v>
      </c>
    </row>
    <row r="117" customFormat="false" ht="15" hidden="false" customHeight="false" outlineLevel="0" collapsed="false">
      <c r="A117" s="20" t="s">
        <v>628</v>
      </c>
      <c r="B117" s="23" t="n">
        <v>45716</v>
      </c>
      <c r="C117" s="20" t="n">
        <f aca="false">MONTH(B117)</f>
        <v>2</v>
      </c>
      <c r="D117" s="20" t="s">
        <v>245</v>
      </c>
      <c r="E117" s="20" t="s">
        <v>47</v>
      </c>
      <c r="F117" s="20" t="s">
        <v>54</v>
      </c>
      <c r="G117" s="20" t="s">
        <v>55</v>
      </c>
      <c r="H117" s="20" t="n">
        <v>1</v>
      </c>
      <c r="I117" s="24" t="n">
        <v>38</v>
      </c>
      <c r="J117" s="24" t="n">
        <v>16</v>
      </c>
      <c r="K117" s="24" t="n">
        <f aca="false">H117*I117</f>
        <v>38</v>
      </c>
      <c r="L117" s="24" t="n">
        <f aca="false">K117-H117*J117</f>
        <v>22</v>
      </c>
      <c r="M117" s="20" t="s">
        <v>50</v>
      </c>
    </row>
    <row r="118" customFormat="false" ht="15" hidden="false" customHeight="false" outlineLevel="0" collapsed="false">
      <c r="A118" s="20" t="s">
        <v>1067</v>
      </c>
      <c r="B118" s="23" t="n">
        <v>45716</v>
      </c>
      <c r="C118" s="20" t="n">
        <f aca="false">MONTH(B118)</f>
        <v>2</v>
      </c>
      <c r="D118" s="20" t="s">
        <v>502</v>
      </c>
      <c r="E118" s="20" t="s">
        <v>59</v>
      </c>
      <c r="F118" s="20" t="s">
        <v>81</v>
      </c>
      <c r="G118" s="20" t="s">
        <v>67</v>
      </c>
      <c r="H118" s="20" t="n">
        <v>1</v>
      </c>
      <c r="I118" s="24" t="n">
        <v>45</v>
      </c>
      <c r="J118" s="24" t="n">
        <v>17</v>
      </c>
      <c r="K118" s="24" t="n">
        <f aca="false">H118*I118</f>
        <v>45</v>
      </c>
      <c r="L118" s="24" t="n">
        <f aca="false">K118-H118*J118</f>
        <v>28</v>
      </c>
      <c r="M118" s="20" t="s">
        <v>112</v>
      </c>
    </row>
    <row r="119" customFormat="false" ht="15" hidden="false" customHeight="false" outlineLevel="0" collapsed="false">
      <c r="A119" s="20" t="s">
        <v>1691</v>
      </c>
      <c r="B119" s="23" t="n">
        <v>45717</v>
      </c>
      <c r="C119" s="20" t="n">
        <f aca="false">MONTH(B119)</f>
        <v>3</v>
      </c>
      <c r="D119" s="20" t="s">
        <v>380</v>
      </c>
      <c r="E119" s="20" t="s">
        <v>59</v>
      </c>
      <c r="F119" s="20" t="s">
        <v>81</v>
      </c>
      <c r="G119" s="20" t="s">
        <v>82</v>
      </c>
      <c r="H119" s="20" t="n">
        <v>1</v>
      </c>
      <c r="I119" s="24" t="n">
        <v>22</v>
      </c>
      <c r="J119" s="24" t="n">
        <v>8</v>
      </c>
      <c r="K119" s="24" t="n">
        <f aca="false">H119*I119</f>
        <v>22</v>
      </c>
      <c r="L119" s="24" t="n">
        <f aca="false">K119-H119*J119</f>
        <v>14</v>
      </c>
      <c r="M119" s="20" t="s">
        <v>112</v>
      </c>
    </row>
    <row r="120" customFormat="false" ht="15" hidden="false" customHeight="false" outlineLevel="0" collapsed="false">
      <c r="A120" s="20" t="s">
        <v>743</v>
      </c>
      <c r="B120" s="23" t="n">
        <v>45719</v>
      </c>
      <c r="C120" s="20" t="n">
        <f aca="false">MONTH(B120)</f>
        <v>3</v>
      </c>
      <c r="D120" s="20" t="s">
        <v>464</v>
      </c>
      <c r="E120" s="20" t="s">
        <v>70</v>
      </c>
      <c r="F120" s="20" t="s">
        <v>81</v>
      </c>
      <c r="G120" s="20" t="s">
        <v>67</v>
      </c>
      <c r="H120" s="20" t="n">
        <v>2</v>
      </c>
      <c r="I120" s="24" t="n">
        <v>45</v>
      </c>
      <c r="J120" s="24" t="n">
        <v>17</v>
      </c>
      <c r="K120" s="24" t="n">
        <f aca="false">H120*I120</f>
        <v>90</v>
      </c>
      <c r="L120" s="24" t="n">
        <f aca="false">K120-H120*J120</f>
        <v>56</v>
      </c>
      <c r="M120" s="20" t="s">
        <v>50</v>
      </c>
    </row>
    <row r="121" customFormat="false" ht="15" hidden="false" customHeight="false" outlineLevel="0" collapsed="false">
      <c r="A121" s="20" t="s">
        <v>1420</v>
      </c>
      <c r="B121" s="23" t="n">
        <v>45719</v>
      </c>
      <c r="C121" s="20" t="n">
        <f aca="false">MONTH(B121)</f>
        <v>3</v>
      </c>
      <c r="D121" s="20" t="s">
        <v>227</v>
      </c>
      <c r="E121" s="20" t="s">
        <v>70</v>
      </c>
      <c r="F121" s="20" t="s">
        <v>81</v>
      </c>
      <c r="G121" s="20" t="s">
        <v>61</v>
      </c>
      <c r="H121" s="20" t="n">
        <v>1</v>
      </c>
      <c r="I121" s="24" t="n">
        <v>35</v>
      </c>
      <c r="J121" s="24" t="n">
        <v>12</v>
      </c>
      <c r="K121" s="24" t="n">
        <f aca="false">H121*I121</f>
        <v>35</v>
      </c>
      <c r="L121" s="24" t="n">
        <f aca="false">K121-H121*J121</f>
        <v>23</v>
      </c>
      <c r="M121" s="20" t="s">
        <v>50</v>
      </c>
    </row>
    <row r="122" customFormat="false" ht="15" hidden="false" customHeight="false" outlineLevel="0" collapsed="false">
      <c r="A122" s="20" t="s">
        <v>1427</v>
      </c>
      <c r="B122" s="23" t="n">
        <v>45719</v>
      </c>
      <c r="C122" s="20" t="n">
        <f aca="false">MONTH(B122)</f>
        <v>3</v>
      </c>
      <c r="D122" s="20" t="s">
        <v>97</v>
      </c>
      <c r="E122" s="20" t="s">
        <v>65</v>
      </c>
      <c r="F122" s="20" t="s">
        <v>92</v>
      </c>
      <c r="G122" s="20" t="s">
        <v>196</v>
      </c>
      <c r="H122" s="20" t="n">
        <v>2</v>
      </c>
      <c r="I122" s="24" t="n">
        <v>89</v>
      </c>
      <c r="J122" s="24" t="n">
        <v>41</v>
      </c>
      <c r="K122" s="24" t="n">
        <f aca="false">H122*I122</f>
        <v>178</v>
      </c>
      <c r="L122" s="24" t="n">
        <f aca="false">K122-H122*J122</f>
        <v>96</v>
      </c>
      <c r="M122" s="20" t="s">
        <v>50</v>
      </c>
    </row>
    <row r="123" customFormat="false" ht="15" hidden="false" customHeight="false" outlineLevel="0" collapsed="false">
      <c r="A123" s="20" t="s">
        <v>551</v>
      </c>
      <c r="B123" s="23" t="n">
        <v>45719</v>
      </c>
      <c r="C123" s="20" t="n">
        <f aca="false">MONTH(B123)</f>
        <v>3</v>
      </c>
      <c r="D123" s="20" t="s">
        <v>552</v>
      </c>
      <c r="E123" s="20" t="s">
        <v>109</v>
      </c>
      <c r="F123" s="20" t="s">
        <v>92</v>
      </c>
      <c r="G123" s="20" t="s">
        <v>105</v>
      </c>
      <c r="H123" s="20" t="n">
        <v>2</v>
      </c>
      <c r="I123" s="24" t="n">
        <v>49</v>
      </c>
      <c r="J123" s="24" t="n">
        <v>22</v>
      </c>
      <c r="K123" s="24" t="n">
        <f aca="false">H123*I123</f>
        <v>98</v>
      </c>
      <c r="L123" s="24" t="n">
        <f aca="false">K123-H123*J123</f>
        <v>54</v>
      </c>
      <c r="M123" s="20" t="s">
        <v>50</v>
      </c>
    </row>
    <row r="124" customFormat="false" ht="15" hidden="false" customHeight="false" outlineLevel="0" collapsed="false">
      <c r="A124" s="20" t="s">
        <v>1247</v>
      </c>
      <c r="B124" s="23" t="n">
        <v>45719</v>
      </c>
      <c r="C124" s="20" t="n">
        <f aca="false">MONTH(B124)</f>
        <v>3</v>
      </c>
      <c r="D124" s="20" t="s">
        <v>210</v>
      </c>
      <c r="E124" s="20" t="s">
        <v>59</v>
      </c>
      <c r="F124" s="20" t="s">
        <v>92</v>
      </c>
      <c r="G124" s="20" t="s">
        <v>105</v>
      </c>
      <c r="H124" s="20" t="n">
        <v>2</v>
      </c>
      <c r="I124" s="24" t="n">
        <v>49</v>
      </c>
      <c r="J124" s="24" t="n">
        <v>22</v>
      </c>
      <c r="K124" s="24" t="n">
        <f aca="false">H124*I124</f>
        <v>98</v>
      </c>
      <c r="L124" s="24" t="n">
        <f aca="false">K124-H124*J124</f>
        <v>54</v>
      </c>
      <c r="M124" s="20" t="s">
        <v>50</v>
      </c>
    </row>
    <row r="125" customFormat="false" ht="15" hidden="false" customHeight="false" outlineLevel="0" collapsed="false">
      <c r="A125" s="20" t="s">
        <v>1650</v>
      </c>
      <c r="B125" s="23" t="n">
        <v>45719</v>
      </c>
      <c r="C125" s="20" t="n">
        <f aca="false">MONTH(B125)</f>
        <v>3</v>
      </c>
      <c r="D125" s="20" t="s">
        <v>983</v>
      </c>
      <c r="E125" s="20" t="s">
        <v>109</v>
      </c>
      <c r="F125" s="20" t="s">
        <v>48</v>
      </c>
      <c r="G125" s="20" t="s">
        <v>49</v>
      </c>
      <c r="H125" s="20" t="n">
        <v>1</v>
      </c>
      <c r="I125" s="24" t="n">
        <v>18</v>
      </c>
      <c r="J125" s="24" t="n">
        <v>5</v>
      </c>
      <c r="K125" s="24" t="n">
        <f aca="false">H125*I125</f>
        <v>18</v>
      </c>
      <c r="L125" s="24" t="n">
        <f aca="false">K125-H125*J125</f>
        <v>13</v>
      </c>
      <c r="M125" s="20" t="s">
        <v>50</v>
      </c>
    </row>
    <row r="126" customFormat="false" ht="15" hidden="false" customHeight="false" outlineLevel="0" collapsed="false">
      <c r="A126" s="20" t="s">
        <v>141</v>
      </c>
      <c r="B126" s="23" t="n">
        <v>45720</v>
      </c>
      <c r="C126" s="20" t="n">
        <f aca="false">MONTH(B126)</f>
        <v>3</v>
      </c>
      <c r="D126" s="20" t="s">
        <v>143</v>
      </c>
      <c r="E126" s="20" t="s">
        <v>65</v>
      </c>
      <c r="F126" s="20" t="s">
        <v>48</v>
      </c>
      <c r="G126" s="20" t="s">
        <v>144</v>
      </c>
      <c r="H126" s="20" t="n">
        <v>1</v>
      </c>
      <c r="I126" s="24" t="n">
        <v>54</v>
      </c>
      <c r="J126" s="24" t="n">
        <v>24</v>
      </c>
      <c r="K126" s="24" t="n">
        <f aca="false">H126*I126</f>
        <v>54</v>
      </c>
      <c r="L126" s="24" t="n">
        <f aca="false">K126-H126*J126</f>
        <v>30</v>
      </c>
      <c r="M126" s="20" t="s">
        <v>50</v>
      </c>
    </row>
    <row r="127" customFormat="false" ht="15" hidden="false" customHeight="false" outlineLevel="0" collapsed="false">
      <c r="A127" s="20" t="s">
        <v>1620</v>
      </c>
      <c r="B127" s="23" t="n">
        <v>45720</v>
      </c>
      <c r="C127" s="20" t="n">
        <f aca="false">MONTH(B127)</f>
        <v>3</v>
      </c>
      <c r="D127" s="20" t="s">
        <v>1091</v>
      </c>
      <c r="E127" s="20" t="s">
        <v>70</v>
      </c>
      <c r="F127" s="20" t="s">
        <v>54</v>
      </c>
      <c r="G127" s="20" t="s">
        <v>55</v>
      </c>
      <c r="H127" s="20" t="n">
        <v>1</v>
      </c>
      <c r="I127" s="24" t="n">
        <v>38</v>
      </c>
      <c r="J127" s="24" t="n">
        <v>16</v>
      </c>
      <c r="K127" s="24" t="n">
        <f aca="false">H127*I127</f>
        <v>38</v>
      </c>
      <c r="L127" s="24" t="n">
        <f aca="false">K127-H127*J127</f>
        <v>22</v>
      </c>
      <c r="M127" s="20" t="s">
        <v>50</v>
      </c>
    </row>
    <row r="128" customFormat="false" ht="15" hidden="false" customHeight="false" outlineLevel="0" collapsed="false">
      <c r="A128" s="20" t="s">
        <v>1341</v>
      </c>
      <c r="B128" s="23" t="n">
        <v>45720</v>
      </c>
      <c r="C128" s="20" t="n">
        <f aca="false">MONTH(B128)</f>
        <v>3</v>
      </c>
      <c r="D128" s="20" t="s">
        <v>548</v>
      </c>
      <c r="E128" s="20" t="s">
        <v>70</v>
      </c>
      <c r="F128" s="20" t="s">
        <v>48</v>
      </c>
      <c r="G128" s="20" t="s">
        <v>144</v>
      </c>
      <c r="H128" s="20" t="n">
        <v>2</v>
      </c>
      <c r="I128" s="24" t="n">
        <v>54</v>
      </c>
      <c r="J128" s="24" t="n">
        <v>24</v>
      </c>
      <c r="K128" s="24" t="n">
        <f aca="false">H128*I128</f>
        <v>108</v>
      </c>
      <c r="L128" s="24" t="n">
        <f aca="false">K128-H128*J128</f>
        <v>60</v>
      </c>
      <c r="M128" s="20" t="s">
        <v>50</v>
      </c>
    </row>
    <row r="129" customFormat="false" ht="15" hidden="false" customHeight="false" outlineLevel="0" collapsed="false">
      <c r="A129" s="20" t="s">
        <v>1075</v>
      </c>
      <c r="B129" s="23" t="n">
        <v>45720</v>
      </c>
      <c r="C129" s="20" t="n">
        <f aca="false">MONTH(B129)</f>
        <v>3</v>
      </c>
      <c r="D129" s="20" t="s">
        <v>424</v>
      </c>
      <c r="E129" s="20" t="s">
        <v>109</v>
      </c>
      <c r="F129" s="20" t="s">
        <v>48</v>
      </c>
      <c r="G129" s="20" t="s">
        <v>116</v>
      </c>
      <c r="H129" s="20" t="n">
        <v>1</v>
      </c>
      <c r="I129" s="24" t="n">
        <v>28</v>
      </c>
      <c r="J129" s="24" t="n">
        <v>9</v>
      </c>
      <c r="K129" s="24" t="n">
        <f aca="false">H129*I129</f>
        <v>28</v>
      </c>
      <c r="L129" s="24" t="n">
        <f aca="false">K129-H129*J129</f>
        <v>19</v>
      </c>
      <c r="M129" s="20" t="s">
        <v>50</v>
      </c>
    </row>
    <row r="130" customFormat="false" ht="15" hidden="false" customHeight="false" outlineLevel="0" collapsed="false">
      <c r="A130" s="20" t="s">
        <v>506</v>
      </c>
      <c r="B130" s="23" t="n">
        <v>45721</v>
      </c>
      <c r="C130" s="20" t="n">
        <f aca="false">MONTH(B130)</f>
        <v>3</v>
      </c>
      <c r="D130" s="20" t="s">
        <v>483</v>
      </c>
      <c r="E130" s="20" t="s">
        <v>47</v>
      </c>
      <c r="F130" s="20" t="s">
        <v>110</v>
      </c>
      <c r="G130" s="20" t="s">
        <v>236</v>
      </c>
      <c r="H130" s="20" t="n">
        <v>2</v>
      </c>
      <c r="I130" s="24" t="n">
        <v>30</v>
      </c>
      <c r="J130" s="24" t="n">
        <v>11</v>
      </c>
      <c r="K130" s="24" t="n">
        <f aca="false">H130*I130</f>
        <v>60</v>
      </c>
      <c r="L130" s="24" t="n">
        <f aca="false">K130-H130*J130</f>
        <v>38</v>
      </c>
      <c r="M130" s="20" t="s">
        <v>50</v>
      </c>
    </row>
    <row r="131" customFormat="false" ht="15" hidden="false" customHeight="false" outlineLevel="0" collapsed="false">
      <c r="A131" s="20" t="s">
        <v>1265</v>
      </c>
      <c r="B131" s="23" t="n">
        <v>45721</v>
      </c>
      <c r="C131" s="20" t="n">
        <f aca="false">MONTH(B131)</f>
        <v>3</v>
      </c>
      <c r="D131" s="20" t="s">
        <v>64</v>
      </c>
      <c r="E131" s="20" t="s">
        <v>109</v>
      </c>
      <c r="F131" s="20" t="s">
        <v>81</v>
      </c>
      <c r="G131" s="20" t="s">
        <v>61</v>
      </c>
      <c r="H131" s="20" t="n">
        <v>1</v>
      </c>
      <c r="I131" s="24" t="n">
        <v>35</v>
      </c>
      <c r="J131" s="24" t="n">
        <v>12</v>
      </c>
      <c r="K131" s="24" t="n">
        <f aca="false">H131*I131</f>
        <v>35</v>
      </c>
      <c r="L131" s="24" t="n">
        <f aca="false">K131-H131*J131</f>
        <v>23</v>
      </c>
      <c r="M131" s="20" t="s">
        <v>50</v>
      </c>
    </row>
    <row r="132" customFormat="false" ht="15" hidden="false" customHeight="false" outlineLevel="0" collapsed="false">
      <c r="A132" s="20" t="s">
        <v>788</v>
      </c>
      <c r="B132" s="23" t="n">
        <v>45722</v>
      </c>
      <c r="C132" s="20" t="n">
        <f aca="false">MONTH(B132)</f>
        <v>3</v>
      </c>
      <c r="D132" s="20" t="s">
        <v>139</v>
      </c>
      <c r="E132" s="20" t="s">
        <v>65</v>
      </c>
      <c r="F132" s="20" t="s">
        <v>92</v>
      </c>
      <c r="G132" s="20" t="s">
        <v>196</v>
      </c>
      <c r="H132" s="20" t="n">
        <v>2</v>
      </c>
      <c r="I132" s="24" t="n">
        <v>89</v>
      </c>
      <c r="J132" s="24" t="n">
        <v>41</v>
      </c>
      <c r="K132" s="24" t="n">
        <f aca="false">H132*I132</f>
        <v>178</v>
      </c>
      <c r="L132" s="24" t="n">
        <f aca="false">K132-H132*J132</f>
        <v>96</v>
      </c>
      <c r="M132" s="20" t="s">
        <v>50</v>
      </c>
    </row>
    <row r="133" customFormat="false" ht="15" hidden="false" customHeight="false" outlineLevel="0" collapsed="false">
      <c r="A133" s="20" t="s">
        <v>868</v>
      </c>
      <c r="B133" s="23" t="n">
        <v>45724</v>
      </c>
      <c r="C133" s="20" t="n">
        <f aca="false">MONTH(B133)</f>
        <v>3</v>
      </c>
      <c r="D133" s="20" t="s">
        <v>344</v>
      </c>
      <c r="E133" s="20" t="s">
        <v>70</v>
      </c>
      <c r="F133" s="20" t="s">
        <v>54</v>
      </c>
      <c r="G133" s="20" t="s">
        <v>55</v>
      </c>
      <c r="H133" s="20" t="n">
        <v>3</v>
      </c>
      <c r="I133" s="24" t="n">
        <v>38</v>
      </c>
      <c r="J133" s="24" t="n">
        <v>16</v>
      </c>
      <c r="K133" s="24" t="n">
        <f aca="false">H133*I133</f>
        <v>114</v>
      </c>
      <c r="L133" s="24" t="n">
        <f aca="false">K133-H133*J133</f>
        <v>66</v>
      </c>
      <c r="M133" s="20" t="s">
        <v>50</v>
      </c>
    </row>
    <row r="134" customFormat="false" ht="15" hidden="false" customHeight="false" outlineLevel="0" collapsed="false">
      <c r="A134" s="20" t="s">
        <v>1581</v>
      </c>
      <c r="B134" s="23" t="n">
        <v>45724</v>
      </c>
      <c r="C134" s="20" t="n">
        <f aca="false">MONTH(B134)</f>
        <v>3</v>
      </c>
      <c r="D134" s="20" t="s">
        <v>296</v>
      </c>
      <c r="E134" s="20" t="s">
        <v>47</v>
      </c>
      <c r="F134" s="20" t="s">
        <v>81</v>
      </c>
      <c r="G134" s="20" t="s">
        <v>82</v>
      </c>
      <c r="H134" s="20" t="n">
        <v>1</v>
      </c>
      <c r="I134" s="24" t="n">
        <v>22</v>
      </c>
      <c r="J134" s="24" t="n">
        <v>8</v>
      </c>
      <c r="K134" s="24" t="n">
        <f aca="false">H134*I134</f>
        <v>22</v>
      </c>
      <c r="L134" s="24" t="n">
        <f aca="false">K134-H134*J134</f>
        <v>14</v>
      </c>
      <c r="M134" s="20" t="s">
        <v>50</v>
      </c>
    </row>
    <row r="135" customFormat="false" ht="15" hidden="false" customHeight="false" outlineLevel="0" collapsed="false">
      <c r="A135" s="20" t="s">
        <v>1635</v>
      </c>
      <c r="B135" s="23" t="n">
        <v>45725</v>
      </c>
      <c r="C135" s="20" t="n">
        <f aca="false">MONTH(B135)</f>
        <v>3</v>
      </c>
      <c r="D135" s="20" t="s">
        <v>104</v>
      </c>
      <c r="E135" s="20" t="s">
        <v>47</v>
      </c>
      <c r="F135" s="20" t="s">
        <v>81</v>
      </c>
      <c r="G135" s="20" t="s">
        <v>82</v>
      </c>
      <c r="H135" s="20" t="n">
        <v>1</v>
      </c>
      <c r="I135" s="24" t="n">
        <v>22</v>
      </c>
      <c r="J135" s="24" t="n">
        <v>8</v>
      </c>
      <c r="K135" s="24" t="n">
        <f aca="false">H135*I135</f>
        <v>22</v>
      </c>
      <c r="L135" s="24" t="n">
        <f aca="false">K135-H135*J135</f>
        <v>14</v>
      </c>
      <c r="M135" s="20" t="s">
        <v>112</v>
      </c>
    </row>
    <row r="136" customFormat="false" ht="15" hidden="false" customHeight="false" outlineLevel="0" collapsed="false">
      <c r="A136" s="20" t="s">
        <v>1151</v>
      </c>
      <c r="B136" s="23" t="n">
        <v>45725</v>
      </c>
      <c r="C136" s="20" t="n">
        <f aca="false">MONTH(B136)</f>
        <v>3</v>
      </c>
      <c r="D136" s="20" t="s">
        <v>86</v>
      </c>
      <c r="E136" s="20" t="s">
        <v>47</v>
      </c>
      <c r="F136" s="20" t="s">
        <v>48</v>
      </c>
      <c r="G136" s="20" t="s">
        <v>116</v>
      </c>
      <c r="H136" s="20" t="n">
        <v>1</v>
      </c>
      <c r="I136" s="24" t="n">
        <v>28</v>
      </c>
      <c r="J136" s="24" t="n">
        <v>9</v>
      </c>
      <c r="K136" s="24" t="n">
        <f aca="false">H136*I136</f>
        <v>28</v>
      </c>
      <c r="L136" s="24" t="n">
        <f aca="false">K136-H136*J136</f>
        <v>19</v>
      </c>
      <c r="M136" s="20" t="s">
        <v>50</v>
      </c>
    </row>
    <row r="137" customFormat="false" ht="15" hidden="false" customHeight="false" outlineLevel="0" collapsed="false">
      <c r="A137" s="20" t="s">
        <v>1439</v>
      </c>
      <c r="B137" s="23" t="n">
        <v>45725</v>
      </c>
      <c r="C137" s="20" t="n">
        <f aca="false">MONTH(B137)</f>
        <v>3</v>
      </c>
      <c r="D137" s="20" t="s">
        <v>983</v>
      </c>
      <c r="E137" s="20" t="s">
        <v>47</v>
      </c>
      <c r="F137" s="20" t="s">
        <v>110</v>
      </c>
      <c r="G137" s="20" t="s">
        <v>111</v>
      </c>
      <c r="H137" s="20" t="n">
        <v>3</v>
      </c>
      <c r="I137" s="24" t="n">
        <v>16</v>
      </c>
      <c r="J137" s="24" t="n">
        <v>5</v>
      </c>
      <c r="K137" s="24" t="n">
        <f aca="false">H137*I137</f>
        <v>48</v>
      </c>
      <c r="L137" s="24" t="n">
        <f aca="false">K137-H137*J137</f>
        <v>33</v>
      </c>
      <c r="M137" s="20" t="s">
        <v>50</v>
      </c>
    </row>
    <row r="138" customFormat="false" ht="15" hidden="false" customHeight="false" outlineLevel="0" collapsed="false">
      <c r="A138" s="20" t="s">
        <v>1497</v>
      </c>
      <c r="B138" s="23" t="n">
        <v>45725</v>
      </c>
      <c r="C138" s="20" t="n">
        <f aca="false">MONTH(B138)</f>
        <v>3</v>
      </c>
      <c r="D138" s="20" t="s">
        <v>318</v>
      </c>
      <c r="E138" s="20" t="s">
        <v>47</v>
      </c>
      <c r="F138" s="20" t="s">
        <v>48</v>
      </c>
      <c r="G138" s="20" t="s">
        <v>144</v>
      </c>
      <c r="H138" s="20" t="n">
        <v>1</v>
      </c>
      <c r="I138" s="24" t="n">
        <v>54</v>
      </c>
      <c r="J138" s="24" t="n">
        <v>24</v>
      </c>
      <c r="K138" s="24" t="n">
        <f aca="false">H138*I138</f>
        <v>54</v>
      </c>
      <c r="L138" s="24" t="n">
        <f aca="false">K138-H138*J138</f>
        <v>30</v>
      </c>
      <c r="M138" s="20" t="s">
        <v>50</v>
      </c>
    </row>
    <row r="139" customFormat="false" ht="15" hidden="false" customHeight="false" outlineLevel="0" collapsed="false">
      <c r="A139" s="20" t="s">
        <v>852</v>
      </c>
      <c r="B139" s="23" t="n">
        <v>45725</v>
      </c>
      <c r="C139" s="20" t="n">
        <f aca="false">MONTH(B139)</f>
        <v>3</v>
      </c>
      <c r="D139" s="20" t="s">
        <v>431</v>
      </c>
      <c r="E139" s="20" t="s">
        <v>47</v>
      </c>
      <c r="F139" s="20" t="s">
        <v>54</v>
      </c>
      <c r="G139" s="20" t="s">
        <v>72</v>
      </c>
      <c r="H139" s="20" t="n">
        <v>1</v>
      </c>
      <c r="I139" s="24" t="n">
        <v>24</v>
      </c>
      <c r="J139" s="24" t="n">
        <v>9</v>
      </c>
      <c r="K139" s="24" t="n">
        <f aca="false">H139*I139</f>
        <v>24</v>
      </c>
      <c r="L139" s="24" t="n">
        <f aca="false">K139-H139*J139</f>
        <v>15</v>
      </c>
      <c r="M139" s="20" t="s">
        <v>50</v>
      </c>
    </row>
    <row r="140" customFormat="false" ht="15" hidden="false" customHeight="false" outlineLevel="0" collapsed="false">
      <c r="A140" s="20" t="s">
        <v>1541</v>
      </c>
      <c r="B140" s="23" t="n">
        <v>45726</v>
      </c>
      <c r="C140" s="20" t="n">
        <f aca="false">MONTH(B140)</f>
        <v>3</v>
      </c>
      <c r="D140" s="20" t="s">
        <v>634</v>
      </c>
      <c r="E140" s="20" t="s">
        <v>59</v>
      </c>
      <c r="F140" s="20" t="s">
        <v>92</v>
      </c>
      <c r="G140" s="20" t="s">
        <v>196</v>
      </c>
      <c r="H140" s="20" t="n">
        <v>1</v>
      </c>
      <c r="I140" s="24" t="n">
        <v>89</v>
      </c>
      <c r="J140" s="24" t="n">
        <v>41</v>
      </c>
      <c r="K140" s="24" t="n">
        <f aca="false">H140*I140</f>
        <v>89</v>
      </c>
      <c r="L140" s="24" t="n">
        <f aca="false">K140-H140*J140</f>
        <v>48</v>
      </c>
      <c r="M140" s="20" t="s">
        <v>50</v>
      </c>
    </row>
    <row r="141" customFormat="false" ht="15" hidden="false" customHeight="false" outlineLevel="0" collapsed="false">
      <c r="A141" s="20" t="s">
        <v>767</v>
      </c>
      <c r="B141" s="23" t="n">
        <v>45727</v>
      </c>
      <c r="C141" s="20" t="n">
        <f aca="false">MONTH(B141)</f>
        <v>3</v>
      </c>
      <c r="D141" s="20" t="s">
        <v>300</v>
      </c>
      <c r="E141" s="20" t="s">
        <v>47</v>
      </c>
      <c r="F141" s="20" t="s">
        <v>92</v>
      </c>
      <c r="G141" s="20" t="s">
        <v>93</v>
      </c>
      <c r="H141" s="20" t="n">
        <v>1</v>
      </c>
      <c r="I141" s="24" t="n">
        <v>15</v>
      </c>
      <c r="J141" s="24" t="n">
        <v>5</v>
      </c>
      <c r="K141" s="24" t="n">
        <f aca="false">H141*I141</f>
        <v>15</v>
      </c>
      <c r="L141" s="24" t="n">
        <f aca="false">K141-H141*J141</f>
        <v>10</v>
      </c>
      <c r="M141" s="20" t="s">
        <v>50</v>
      </c>
    </row>
    <row r="142" customFormat="false" ht="15" hidden="false" customHeight="false" outlineLevel="0" collapsed="false">
      <c r="A142" s="20" t="s">
        <v>832</v>
      </c>
      <c r="B142" s="23" t="n">
        <v>45728</v>
      </c>
      <c r="C142" s="20" t="n">
        <f aca="false">MONTH(B142)</f>
        <v>3</v>
      </c>
      <c r="D142" s="20" t="s">
        <v>344</v>
      </c>
      <c r="E142" s="20" t="s">
        <v>47</v>
      </c>
      <c r="F142" s="20" t="s">
        <v>92</v>
      </c>
      <c r="G142" s="20" t="s">
        <v>105</v>
      </c>
      <c r="H142" s="20" t="n">
        <v>2</v>
      </c>
      <c r="I142" s="24" t="n">
        <v>49</v>
      </c>
      <c r="J142" s="24" t="n">
        <v>22</v>
      </c>
      <c r="K142" s="24" t="n">
        <f aca="false">H142*I142</f>
        <v>98</v>
      </c>
      <c r="L142" s="24" t="n">
        <f aca="false">K142-H142*J142</f>
        <v>54</v>
      </c>
      <c r="M142" s="20" t="s">
        <v>50</v>
      </c>
    </row>
    <row r="143" customFormat="false" ht="15" hidden="false" customHeight="false" outlineLevel="0" collapsed="false">
      <c r="A143" s="20" t="s">
        <v>470</v>
      </c>
      <c r="B143" s="23" t="n">
        <v>45728</v>
      </c>
      <c r="C143" s="20" t="n">
        <f aca="false">MONTH(B143)</f>
        <v>3</v>
      </c>
      <c r="D143" s="20" t="s">
        <v>115</v>
      </c>
      <c r="E143" s="20" t="s">
        <v>47</v>
      </c>
      <c r="F143" s="20" t="s">
        <v>54</v>
      </c>
      <c r="G143" s="20" t="s">
        <v>55</v>
      </c>
      <c r="H143" s="20" t="n">
        <v>4</v>
      </c>
      <c r="I143" s="24" t="n">
        <v>38</v>
      </c>
      <c r="J143" s="24" t="n">
        <v>16</v>
      </c>
      <c r="K143" s="24" t="n">
        <f aca="false">H143*I143</f>
        <v>152</v>
      </c>
      <c r="L143" s="24" t="n">
        <f aca="false">K143-H143*J143</f>
        <v>88</v>
      </c>
      <c r="M143" s="20" t="s">
        <v>50</v>
      </c>
    </row>
    <row r="144" customFormat="false" ht="15" hidden="false" customHeight="false" outlineLevel="0" collapsed="false">
      <c r="A144" s="20" t="s">
        <v>256</v>
      </c>
      <c r="B144" s="23" t="n">
        <v>45728</v>
      </c>
      <c r="C144" s="20" t="n">
        <f aca="false">MONTH(B144)</f>
        <v>3</v>
      </c>
      <c r="D144" s="20" t="s">
        <v>258</v>
      </c>
      <c r="E144" s="20" t="s">
        <v>65</v>
      </c>
      <c r="F144" s="20" t="s">
        <v>54</v>
      </c>
      <c r="G144" s="20" t="s">
        <v>55</v>
      </c>
      <c r="H144" s="20" t="n">
        <v>3</v>
      </c>
      <c r="I144" s="24" t="n">
        <v>38</v>
      </c>
      <c r="J144" s="24" t="n">
        <v>16</v>
      </c>
      <c r="K144" s="24" t="n">
        <f aca="false">H144*I144</f>
        <v>114</v>
      </c>
      <c r="L144" s="24" t="n">
        <f aca="false">K144-H144*J144</f>
        <v>66</v>
      </c>
      <c r="M144" s="20" t="s">
        <v>50</v>
      </c>
    </row>
    <row r="145" customFormat="false" ht="15" hidden="false" customHeight="false" outlineLevel="0" collapsed="false">
      <c r="A145" s="20" t="s">
        <v>313</v>
      </c>
      <c r="B145" s="23" t="n">
        <v>45728</v>
      </c>
      <c r="C145" s="20" t="n">
        <f aca="false">MONTH(B145)</f>
        <v>3</v>
      </c>
      <c r="D145" s="20" t="s">
        <v>80</v>
      </c>
      <c r="E145" s="20" t="s">
        <v>70</v>
      </c>
      <c r="F145" s="20" t="s">
        <v>81</v>
      </c>
      <c r="G145" s="20" t="s">
        <v>82</v>
      </c>
      <c r="H145" s="20" t="n">
        <v>1</v>
      </c>
      <c r="I145" s="24" t="n">
        <v>22</v>
      </c>
      <c r="J145" s="24" t="n">
        <v>8</v>
      </c>
      <c r="K145" s="24" t="n">
        <f aca="false">H145*I145</f>
        <v>22</v>
      </c>
      <c r="L145" s="24" t="n">
        <f aca="false">K145-H145*J145</f>
        <v>14</v>
      </c>
      <c r="M145" s="20" t="s">
        <v>50</v>
      </c>
    </row>
    <row r="146" customFormat="false" ht="15" hidden="false" customHeight="false" outlineLevel="0" collapsed="false">
      <c r="A146" s="20" t="s">
        <v>532</v>
      </c>
      <c r="B146" s="23" t="n">
        <v>45730</v>
      </c>
      <c r="C146" s="20" t="n">
        <f aca="false">MONTH(B146)</f>
        <v>3</v>
      </c>
      <c r="D146" s="20" t="s">
        <v>119</v>
      </c>
      <c r="E146" s="20" t="s">
        <v>47</v>
      </c>
      <c r="F146" s="20" t="s">
        <v>48</v>
      </c>
      <c r="G146" s="20" t="s">
        <v>144</v>
      </c>
      <c r="H146" s="20" t="n">
        <v>2</v>
      </c>
      <c r="I146" s="24" t="n">
        <v>54</v>
      </c>
      <c r="J146" s="24" t="n">
        <v>24</v>
      </c>
      <c r="K146" s="24" t="n">
        <f aca="false">H146*I146</f>
        <v>108</v>
      </c>
      <c r="L146" s="24" t="n">
        <f aca="false">K146-H146*J146</f>
        <v>60</v>
      </c>
      <c r="M146" s="20" t="s">
        <v>50</v>
      </c>
    </row>
    <row r="147" customFormat="false" ht="15" hidden="false" customHeight="false" outlineLevel="0" collapsed="false">
      <c r="A147" s="20" t="s">
        <v>130</v>
      </c>
      <c r="B147" s="23" t="n">
        <v>45730</v>
      </c>
      <c r="C147" s="20" t="n">
        <f aca="false">MONTH(B147)</f>
        <v>3</v>
      </c>
      <c r="D147" s="20" t="s">
        <v>80</v>
      </c>
      <c r="E147" s="20" t="s">
        <v>47</v>
      </c>
      <c r="F147" s="20" t="s">
        <v>110</v>
      </c>
      <c r="G147" s="20" t="s">
        <v>121</v>
      </c>
      <c r="H147" s="20" t="n">
        <v>1</v>
      </c>
      <c r="I147" s="24" t="n">
        <v>21</v>
      </c>
      <c r="J147" s="24" t="n">
        <v>7</v>
      </c>
      <c r="K147" s="24" t="n">
        <f aca="false">H147*I147</f>
        <v>21</v>
      </c>
      <c r="L147" s="24" t="n">
        <f aca="false">K147-H147*J147</f>
        <v>14</v>
      </c>
      <c r="M147" s="20" t="s">
        <v>50</v>
      </c>
    </row>
    <row r="148" customFormat="false" ht="15" hidden="false" customHeight="false" outlineLevel="0" collapsed="false">
      <c r="A148" s="20" t="s">
        <v>1359</v>
      </c>
      <c r="B148" s="23" t="n">
        <v>45730</v>
      </c>
      <c r="C148" s="20" t="n">
        <f aca="false">MONTH(B148)</f>
        <v>3</v>
      </c>
      <c r="D148" s="20" t="s">
        <v>161</v>
      </c>
      <c r="E148" s="20" t="s">
        <v>109</v>
      </c>
      <c r="F148" s="20" t="s">
        <v>48</v>
      </c>
      <c r="G148" s="20" t="s">
        <v>49</v>
      </c>
      <c r="H148" s="20" t="n">
        <v>2</v>
      </c>
      <c r="I148" s="24" t="n">
        <v>18</v>
      </c>
      <c r="J148" s="24" t="n">
        <v>5</v>
      </c>
      <c r="K148" s="24" t="n">
        <f aca="false">H148*I148</f>
        <v>36</v>
      </c>
      <c r="L148" s="24" t="n">
        <f aca="false">K148-H148*J148</f>
        <v>26</v>
      </c>
      <c r="M148" s="20" t="s">
        <v>50</v>
      </c>
    </row>
    <row r="149" customFormat="false" ht="15" hidden="false" customHeight="false" outlineLevel="0" collapsed="false">
      <c r="A149" s="20" t="s">
        <v>1193</v>
      </c>
      <c r="B149" s="23" t="n">
        <v>45730</v>
      </c>
      <c r="C149" s="20" t="n">
        <f aca="false">MONTH(B149)</f>
        <v>3</v>
      </c>
      <c r="D149" s="20" t="s">
        <v>323</v>
      </c>
      <c r="E149" s="20" t="s">
        <v>70</v>
      </c>
      <c r="F149" s="20" t="s">
        <v>48</v>
      </c>
      <c r="G149" s="20" t="s">
        <v>116</v>
      </c>
      <c r="H149" s="20" t="n">
        <v>1</v>
      </c>
      <c r="I149" s="24" t="n">
        <v>28</v>
      </c>
      <c r="J149" s="24" t="n">
        <v>9</v>
      </c>
      <c r="K149" s="24" t="n">
        <f aca="false">H149*I149</f>
        <v>28</v>
      </c>
      <c r="L149" s="24" t="n">
        <f aca="false">K149-H149*J149</f>
        <v>19</v>
      </c>
      <c r="M149" s="20" t="s">
        <v>50</v>
      </c>
    </row>
    <row r="150" customFormat="false" ht="15" hidden="false" customHeight="false" outlineLevel="0" collapsed="false">
      <c r="A150" s="20" t="s">
        <v>1350</v>
      </c>
      <c r="B150" s="23" t="n">
        <v>45731</v>
      </c>
      <c r="C150" s="20" t="n">
        <f aca="false">MONTH(B150)</f>
        <v>3</v>
      </c>
      <c r="D150" s="20" t="s">
        <v>909</v>
      </c>
      <c r="E150" s="20" t="s">
        <v>109</v>
      </c>
      <c r="F150" s="20" t="s">
        <v>81</v>
      </c>
      <c r="G150" s="20" t="s">
        <v>61</v>
      </c>
      <c r="H150" s="20" t="n">
        <v>1</v>
      </c>
      <c r="I150" s="24" t="n">
        <v>35</v>
      </c>
      <c r="J150" s="24" t="n">
        <v>12</v>
      </c>
      <c r="K150" s="24" t="n">
        <f aca="false">H150*I150</f>
        <v>35</v>
      </c>
      <c r="L150" s="24" t="n">
        <f aca="false">K150-H150*J150</f>
        <v>23</v>
      </c>
      <c r="M150" s="20" t="s">
        <v>50</v>
      </c>
    </row>
    <row r="151" customFormat="false" ht="15" hidden="false" customHeight="false" outlineLevel="0" collapsed="false">
      <c r="A151" s="20" t="s">
        <v>871</v>
      </c>
      <c r="B151" s="23" t="n">
        <v>45731</v>
      </c>
      <c r="C151" s="20" t="n">
        <f aca="false">MONTH(B151)</f>
        <v>3</v>
      </c>
      <c r="D151" s="20" t="s">
        <v>306</v>
      </c>
      <c r="E151" s="20" t="s">
        <v>47</v>
      </c>
      <c r="F151" s="20" t="s">
        <v>81</v>
      </c>
      <c r="G151" s="20" t="s">
        <v>67</v>
      </c>
      <c r="H151" s="20" t="n">
        <v>2</v>
      </c>
      <c r="I151" s="24" t="n">
        <v>45</v>
      </c>
      <c r="J151" s="24" t="n">
        <v>17</v>
      </c>
      <c r="K151" s="24" t="n">
        <f aca="false">H151*I151</f>
        <v>90</v>
      </c>
      <c r="L151" s="24" t="n">
        <f aca="false">K151-H151*J151</f>
        <v>56</v>
      </c>
      <c r="M151" s="20" t="s">
        <v>50</v>
      </c>
    </row>
    <row r="152" customFormat="false" ht="15" hidden="false" customHeight="false" outlineLevel="0" collapsed="false">
      <c r="A152" s="20" t="s">
        <v>1126</v>
      </c>
      <c r="B152" s="23" t="n">
        <v>45732</v>
      </c>
      <c r="C152" s="20" t="n">
        <f aca="false">MONTH(B152)</f>
        <v>3</v>
      </c>
      <c r="D152" s="20" t="s">
        <v>52</v>
      </c>
      <c r="E152" s="20" t="s">
        <v>47</v>
      </c>
      <c r="F152" s="20" t="s">
        <v>81</v>
      </c>
      <c r="G152" s="20" t="s">
        <v>82</v>
      </c>
      <c r="H152" s="20" t="n">
        <v>1</v>
      </c>
      <c r="I152" s="24" t="n">
        <v>22</v>
      </c>
      <c r="J152" s="24" t="n">
        <v>8</v>
      </c>
      <c r="K152" s="24" t="n">
        <f aca="false">H152*I152</f>
        <v>22</v>
      </c>
      <c r="L152" s="24" t="n">
        <f aca="false">K152-H152*J152</f>
        <v>14</v>
      </c>
      <c r="M152" s="20" t="s">
        <v>50</v>
      </c>
    </row>
    <row r="153" customFormat="false" ht="15" hidden="false" customHeight="false" outlineLevel="0" collapsed="false">
      <c r="A153" s="20" t="s">
        <v>769</v>
      </c>
      <c r="B153" s="23" t="n">
        <v>45732</v>
      </c>
      <c r="C153" s="20" t="n">
        <f aca="false">MONTH(B153)</f>
        <v>3</v>
      </c>
      <c r="D153" s="20" t="s">
        <v>291</v>
      </c>
      <c r="E153" s="20" t="s">
        <v>59</v>
      </c>
      <c r="F153" s="20" t="s">
        <v>81</v>
      </c>
      <c r="G153" s="20" t="s">
        <v>82</v>
      </c>
      <c r="H153" s="20" t="n">
        <v>1</v>
      </c>
      <c r="I153" s="24" t="n">
        <v>22</v>
      </c>
      <c r="J153" s="24" t="n">
        <v>8</v>
      </c>
      <c r="K153" s="24" t="n">
        <f aca="false">H153*I153</f>
        <v>22</v>
      </c>
      <c r="L153" s="24" t="n">
        <f aca="false">K153-H153*J153</f>
        <v>14</v>
      </c>
      <c r="M153" s="20" t="s">
        <v>112</v>
      </c>
    </row>
    <row r="154" customFormat="false" ht="15" hidden="false" customHeight="false" outlineLevel="0" collapsed="false">
      <c r="A154" s="20" t="s">
        <v>1270</v>
      </c>
      <c r="B154" s="23" t="n">
        <v>45732</v>
      </c>
      <c r="C154" s="20" t="n">
        <f aca="false">MONTH(B154)</f>
        <v>3</v>
      </c>
      <c r="D154" s="20" t="s">
        <v>186</v>
      </c>
      <c r="E154" s="20" t="s">
        <v>70</v>
      </c>
      <c r="F154" s="20" t="s">
        <v>110</v>
      </c>
      <c r="G154" s="20" t="s">
        <v>121</v>
      </c>
      <c r="H154" s="20" t="n">
        <v>1</v>
      </c>
      <c r="I154" s="24" t="n">
        <v>21</v>
      </c>
      <c r="J154" s="24" t="n">
        <v>7</v>
      </c>
      <c r="K154" s="24" t="n">
        <f aca="false">H154*I154</f>
        <v>21</v>
      </c>
      <c r="L154" s="24" t="n">
        <f aca="false">K154-H154*J154</f>
        <v>14</v>
      </c>
      <c r="M154" s="20" t="s">
        <v>50</v>
      </c>
    </row>
    <row r="155" customFormat="false" ht="15" hidden="false" customHeight="false" outlineLevel="0" collapsed="false">
      <c r="A155" s="20" t="s">
        <v>1444</v>
      </c>
      <c r="B155" s="23" t="n">
        <v>45733</v>
      </c>
      <c r="C155" s="20" t="n">
        <f aca="false">MONTH(B155)</f>
        <v>3</v>
      </c>
      <c r="D155" s="20" t="s">
        <v>925</v>
      </c>
      <c r="E155" s="20" t="s">
        <v>65</v>
      </c>
      <c r="F155" s="20" t="s">
        <v>54</v>
      </c>
      <c r="G155" s="20" t="s">
        <v>72</v>
      </c>
      <c r="H155" s="20" t="n">
        <v>1</v>
      </c>
      <c r="I155" s="24" t="n">
        <v>24</v>
      </c>
      <c r="J155" s="24" t="n">
        <v>9</v>
      </c>
      <c r="K155" s="24" t="n">
        <f aca="false">H155*I155</f>
        <v>24</v>
      </c>
      <c r="L155" s="24" t="n">
        <f aca="false">K155-H155*J155</f>
        <v>15</v>
      </c>
      <c r="M155" s="20" t="s">
        <v>50</v>
      </c>
    </row>
    <row r="156" customFormat="false" ht="15" hidden="false" customHeight="false" outlineLevel="0" collapsed="false">
      <c r="A156" s="20" t="s">
        <v>997</v>
      </c>
      <c r="B156" s="23" t="n">
        <v>45733</v>
      </c>
      <c r="C156" s="20" t="n">
        <f aca="false">MONTH(B156)</f>
        <v>3</v>
      </c>
      <c r="D156" s="20" t="s">
        <v>125</v>
      </c>
      <c r="E156" s="20" t="s">
        <v>70</v>
      </c>
      <c r="F156" s="20" t="s">
        <v>54</v>
      </c>
      <c r="G156" s="20" t="s">
        <v>55</v>
      </c>
      <c r="H156" s="20" t="n">
        <v>1</v>
      </c>
      <c r="I156" s="24" t="n">
        <v>38</v>
      </c>
      <c r="J156" s="24" t="n">
        <v>16</v>
      </c>
      <c r="K156" s="24" t="n">
        <f aca="false">H156*I156</f>
        <v>38</v>
      </c>
      <c r="L156" s="24" t="n">
        <f aca="false">K156-H156*J156</f>
        <v>22</v>
      </c>
      <c r="M156" s="20" t="s">
        <v>50</v>
      </c>
    </row>
    <row r="157" customFormat="false" ht="15" hidden="false" customHeight="false" outlineLevel="0" collapsed="false">
      <c r="A157" s="20" t="s">
        <v>1169</v>
      </c>
      <c r="B157" s="23" t="n">
        <v>45735</v>
      </c>
      <c r="C157" s="20" t="n">
        <f aca="false">MONTH(B157)</f>
        <v>3</v>
      </c>
      <c r="D157" s="20" t="s">
        <v>166</v>
      </c>
      <c r="E157" s="20" t="s">
        <v>47</v>
      </c>
      <c r="F157" s="20" t="s">
        <v>92</v>
      </c>
      <c r="G157" s="20" t="s">
        <v>196</v>
      </c>
      <c r="H157" s="20" t="n">
        <v>2</v>
      </c>
      <c r="I157" s="24" t="n">
        <v>89</v>
      </c>
      <c r="J157" s="24" t="n">
        <v>41</v>
      </c>
      <c r="K157" s="24" t="n">
        <f aca="false">H157*I157</f>
        <v>178</v>
      </c>
      <c r="L157" s="24" t="n">
        <f aca="false">K157-H157*J157</f>
        <v>96</v>
      </c>
      <c r="M157" s="20" t="s">
        <v>50</v>
      </c>
    </row>
    <row r="158" customFormat="false" ht="15" hidden="false" customHeight="false" outlineLevel="0" collapsed="false">
      <c r="A158" s="20" t="s">
        <v>1259</v>
      </c>
      <c r="B158" s="23" t="n">
        <v>45736</v>
      </c>
      <c r="C158" s="20" t="n">
        <f aca="false">MONTH(B158)</f>
        <v>3</v>
      </c>
      <c r="D158" s="20" t="s">
        <v>100</v>
      </c>
      <c r="E158" s="20" t="s">
        <v>59</v>
      </c>
      <c r="F158" s="20" t="s">
        <v>81</v>
      </c>
      <c r="G158" s="20" t="s">
        <v>67</v>
      </c>
      <c r="H158" s="20" t="n">
        <v>2</v>
      </c>
      <c r="I158" s="24" t="n">
        <v>45</v>
      </c>
      <c r="J158" s="24" t="n">
        <v>17</v>
      </c>
      <c r="K158" s="24" t="n">
        <f aca="false">H158*I158</f>
        <v>90</v>
      </c>
      <c r="L158" s="24" t="n">
        <f aca="false">K158-H158*J158</f>
        <v>56</v>
      </c>
      <c r="M158" s="20" t="s">
        <v>50</v>
      </c>
    </row>
    <row r="159" customFormat="false" ht="15" hidden="false" customHeight="false" outlineLevel="0" collapsed="false">
      <c r="A159" s="20" t="s">
        <v>1678</v>
      </c>
      <c r="B159" s="23" t="n">
        <v>45737</v>
      </c>
      <c r="C159" s="20" t="n">
        <f aca="false">MONTH(B159)</f>
        <v>3</v>
      </c>
      <c r="D159" s="20" t="s">
        <v>192</v>
      </c>
      <c r="E159" s="20" t="s">
        <v>47</v>
      </c>
      <c r="F159" s="20" t="s">
        <v>54</v>
      </c>
      <c r="G159" s="20" t="s">
        <v>55</v>
      </c>
      <c r="H159" s="20" t="n">
        <v>2</v>
      </c>
      <c r="I159" s="24" t="n">
        <v>38</v>
      </c>
      <c r="J159" s="24" t="n">
        <v>16</v>
      </c>
      <c r="K159" s="24" t="n">
        <f aca="false">H159*I159</f>
        <v>76</v>
      </c>
      <c r="L159" s="24" t="n">
        <f aca="false">K159-H159*J159</f>
        <v>44</v>
      </c>
      <c r="M159" s="20" t="s">
        <v>50</v>
      </c>
    </row>
    <row r="160" customFormat="false" ht="15" hidden="false" customHeight="false" outlineLevel="0" collapsed="false">
      <c r="A160" s="20" t="s">
        <v>1554</v>
      </c>
      <c r="B160" s="23" t="n">
        <v>45738</v>
      </c>
      <c r="C160" s="20" t="n">
        <f aca="false">MONTH(B160)</f>
        <v>3</v>
      </c>
      <c r="D160" s="20" t="s">
        <v>97</v>
      </c>
      <c r="E160" s="20" t="s">
        <v>47</v>
      </c>
      <c r="F160" s="20" t="s">
        <v>48</v>
      </c>
      <c r="G160" s="20" t="s">
        <v>49</v>
      </c>
      <c r="H160" s="20" t="n">
        <v>1</v>
      </c>
      <c r="I160" s="24" t="n">
        <v>18</v>
      </c>
      <c r="J160" s="24" t="n">
        <v>5</v>
      </c>
      <c r="K160" s="24" t="n">
        <f aca="false">H160*I160</f>
        <v>18</v>
      </c>
      <c r="L160" s="24" t="n">
        <f aca="false">K160-H160*J160</f>
        <v>13</v>
      </c>
      <c r="M160" s="20" t="s">
        <v>50</v>
      </c>
    </row>
    <row r="161" customFormat="false" ht="15" hidden="false" customHeight="false" outlineLevel="0" collapsed="false">
      <c r="A161" s="20" t="s">
        <v>1487</v>
      </c>
      <c r="B161" s="23" t="n">
        <v>45739</v>
      </c>
      <c r="C161" s="20" t="n">
        <f aca="false">MONTH(B161)</f>
        <v>3</v>
      </c>
      <c r="D161" s="20" t="s">
        <v>291</v>
      </c>
      <c r="E161" s="20" t="s">
        <v>47</v>
      </c>
      <c r="F161" s="20" t="s">
        <v>54</v>
      </c>
      <c r="G161" s="20" t="s">
        <v>72</v>
      </c>
      <c r="H161" s="20" t="n">
        <v>3</v>
      </c>
      <c r="I161" s="24" t="n">
        <v>24</v>
      </c>
      <c r="J161" s="24" t="n">
        <v>9</v>
      </c>
      <c r="K161" s="24" t="n">
        <f aca="false">H161*I161</f>
        <v>72</v>
      </c>
      <c r="L161" s="24" t="n">
        <f aca="false">K161-H161*J161</f>
        <v>45</v>
      </c>
      <c r="M161" s="20" t="s">
        <v>112</v>
      </c>
    </row>
    <row r="162" customFormat="false" ht="15" hidden="false" customHeight="false" outlineLevel="0" collapsed="false">
      <c r="A162" s="20" t="s">
        <v>1131</v>
      </c>
      <c r="B162" s="23" t="n">
        <v>45739</v>
      </c>
      <c r="C162" s="20" t="n">
        <f aca="false">MONTH(B162)</f>
        <v>3</v>
      </c>
      <c r="D162" s="20" t="s">
        <v>1025</v>
      </c>
      <c r="E162" s="20" t="s">
        <v>109</v>
      </c>
      <c r="F162" s="20" t="s">
        <v>92</v>
      </c>
      <c r="G162" s="20" t="s">
        <v>105</v>
      </c>
      <c r="H162" s="20" t="n">
        <v>1</v>
      </c>
      <c r="I162" s="24" t="n">
        <v>49</v>
      </c>
      <c r="J162" s="24" t="n">
        <v>22</v>
      </c>
      <c r="K162" s="24" t="n">
        <f aca="false">H162*I162</f>
        <v>49</v>
      </c>
      <c r="L162" s="24" t="n">
        <f aca="false">K162-H162*J162</f>
        <v>27</v>
      </c>
      <c r="M162" s="20" t="s">
        <v>50</v>
      </c>
    </row>
    <row r="163" customFormat="false" ht="15" hidden="false" customHeight="false" outlineLevel="0" collapsed="false">
      <c r="A163" s="20" t="s">
        <v>1366</v>
      </c>
      <c r="B163" s="23" t="n">
        <v>45740</v>
      </c>
      <c r="C163" s="20" t="n">
        <f aca="false">MONTH(B163)</f>
        <v>3</v>
      </c>
      <c r="D163" s="20" t="s">
        <v>486</v>
      </c>
      <c r="E163" s="20" t="s">
        <v>47</v>
      </c>
      <c r="F163" s="20" t="s">
        <v>110</v>
      </c>
      <c r="G163" s="20" t="s">
        <v>121</v>
      </c>
      <c r="H163" s="20" t="n">
        <v>2</v>
      </c>
      <c r="I163" s="24" t="n">
        <v>21</v>
      </c>
      <c r="J163" s="24" t="n">
        <v>7</v>
      </c>
      <c r="K163" s="24" t="n">
        <f aca="false">H163*I163</f>
        <v>42</v>
      </c>
      <c r="L163" s="24" t="n">
        <f aca="false">K163-H163*J163</f>
        <v>28</v>
      </c>
      <c r="M163" s="20" t="s">
        <v>50</v>
      </c>
    </row>
    <row r="164" customFormat="false" ht="15" hidden="false" customHeight="false" outlineLevel="0" collapsed="false">
      <c r="A164" s="20" t="s">
        <v>1462</v>
      </c>
      <c r="B164" s="23" t="n">
        <v>45740</v>
      </c>
      <c r="C164" s="20" t="n">
        <f aca="false">MONTH(B164)</f>
        <v>3</v>
      </c>
      <c r="D164" s="20" t="s">
        <v>431</v>
      </c>
      <c r="E164" s="20" t="s">
        <v>65</v>
      </c>
      <c r="F164" s="20" t="s">
        <v>54</v>
      </c>
      <c r="G164" s="20" t="s">
        <v>72</v>
      </c>
      <c r="H164" s="20" t="n">
        <v>2</v>
      </c>
      <c r="I164" s="24" t="n">
        <v>24</v>
      </c>
      <c r="J164" s="24" t="n">
        <v>9</v>
      </c>
      <c r="K164" s="24" t="n">
        <f aca="false">H164*I164</f>
        <v>48</v>
      </c>
      <c r="L164" s="24" t="n">
        <f aca="false">K164-H164*J164</f>
        <v>30</v>
      </c>
      <c r="M164" s="20" t="s">
        <v>50</v>
      </c>
    </row>
    <row r="165" customFormat="false" ht="15" hidden="false" customHeight="false" outlineLevel="0" collapsed="false">
      <c r="A165" s="20" t="s">
        <v>98</v>
      </c>
      <c r="B165" s="23" t="n">
        <v>45740</v>
      </c>
      <c r="C165" s="20" t="n">
        <f aca="false">MONTH(B165)</f>
        <v>3</v>
      </c>
      <c r="D165" s="20" t="s">
        <v>100</v>
      </c>
      <c r="E165" s="20" t="s">
        <v>47</v>
      </c>
      <c r="F165" s="20" t="s">
        <v>48</v>
      </c>
      <c r="G165" s="20" t="s">
        <v>49</v>
      </c>
      <c r="H165" s="20" t="n">
        <v>1</v>
      </c>
      <c r="I165" s="24" t="n">
        <v>18</v>
      </c>
      <c r="J165" s="24" t="n">
        <v>5</v>
      </c>
      <c r="K165" s="24" t="n">
        <f aca="false">H165*I165</f>
        <v>18</v>
      </c>
      <c r="L165" s="24" t="n">
        <f aca="false">K165-H165*J165</f>
        <v>13</v>
      </c>
      <c r="M165" s="20" t="s">
        <v>50</v>
      </c>
    </row>
    <row r="166" customFormat="false" ht="15" hidden="false" customHeight="false" outlineLevel="0" collapsed="false">
      <c r="A166" s="20" t="s">
        <v>724</v>
      </c>
      <c r="B166" s="23" t="n">
        <v>45740</v>
      </c>
      <c r="C166" s="20" t="n">
        <f aca="false">MONTH(B166)</f>
        <v>3</v>
      </c>
      <c r="D166" s="20" t="s">
        <v>494</v>
      </c>
      <c r="E166" s="20" t="s">
        <v>65</v>
      </c>
      <c r="F166" s="20" t="s">
        <v>54</v>
      </c>
      <c r="G166" s="20" t="s">
        <v>76</v>
      </c>
      <c r="H166" s="20" t="n">
        <v>1</v>
      </c>
      <c r="I166" s="24" t="n">
        <v>32</v>
      </c>
      <c r="J166" s="24" t="n">
        <v>13</v>
      </c>
      <c r="K166" s="24" t="n">
        <f aca="false">H166*I166</f>
        <v>32</v>
      </c>
      <c r="L166" s="24" t="n">
        <f aca="false">K166-H166*J166</f>
        <v>19</v>
      </c>
      <c r="M166" s="20" t="s">
        <v>50</v>
      </c>
    </row>
    <row r="167" customFormat="false" ht="15" hidden="false" customHeight="false" outlineLevel="0" collapsed="false">
      <c r="A167" s="20" t="s">
        <v>1248</v>
      </c>
      <c r="B167" s="23" t="n">
        <v>45740</v>
      </c>
      <c r="C167" s="20" t="n">
        <f aca="false">MONTH(B167)</f>
        <v>3</v>
      </c>
      <c r="D167" s="20" t="s">
        <v>156</v>
      </c>
      <c r="E167" s="20" t="s">
        <v>47</v>
      </c>
      <c r="F167" s="20" t="s">
        <v>81</v>
      </c>
      <c r="G167" s="20" t="s">
        <v>61</v>
      </c>
      <c r="H167" s="20" t="n">
        <v>1</v>
      </c>
      <c r="I167" s="24" t="n">
        <v>35</v>
      </c>
      <c r="J167" s="24" t="n">
        <v>12</v>
      </c>
      <c r="K167" s="24" t="n">
        <f aca="false">H167*I167</f>
        <v>35</v>
      </c>
      <c r="L167" s="24" t="n">
        <f aca="false">K167-H167*J167</f>
        <v>23</v>
      </c>
      <c r="M167" s="20" t="s">
        <v>50</v>
      </c>
    </row>
    <row r="168" customFormat="false" ht="15" hidden="false" customHeight="false" outlineLevel="0" collapsed="false">
      <c r="A168" s="20" t="s">
        <v>443</v>
      </c>
      <c r="B168" s="23" t="n">
        <v>45741</v>
      </c>
      <c r="C168" s="20" t="n">
        <f aca="false">MONTH(B168)</f>
        <v>3</v>
      </c>
      <c r="D168" s="20" t="s">
        <v>444</v>
      </c>
      <c r="E168" s="20" t="s">
        <v>47</v>
      </c>
      <c r="F168" s="20" t="s">
        <v>54</v>
      </c>
      <c r="G168" s="20" t="s">
        <v>76</v>
      </c>
      <c r="H168" s="20" t="n">
        <v>1</v>
      </c>
      <c r="I168" s="24" t="n">
        <v>32</v>
      </c>
      <c r="J168" s="24" t="n">
        <v>13</v>
      </c>
      <c r="K168" s="24" t="n">
        <f aca="false">H168*I168</f>
        <v>32</v>
      </c>
      <c r="L168" s="24" t="n">
        <f aca="false">K168-H168*J168</f>
        <v>19</v>
      </c>
      <c r="M168" s="20" t="s">
        <v>50</v>
      </c>
    </row>
    <row r="169" customFormat="false" ht="15" hidden="false" customHeight="false" outlineLevel="0" collapsed="false">
      <c r="A169" s="20" t="s">
        <v>1446</v>
      </c>
      <c r="B169" s="23" t="n">
        <v>45741</v>
      </c>
      <c r="C169" s="20" t="n">
        <f aca="false">MONTH(B169)</f>
        <v>3</v>
      </c>
      <c r="D169" s="20" t="s">
        <v>1025</v>
      </c>
      <c r="E169" s="20" t="s">
        <v>47</v>
      </c>
      <c r="F169" s="20" t="s">
        <v>110</v>
      </c>
      <c r="G169" s="20" t="s">
        <v>236</v>
      </c>
      <c r="H169" s="20" t="n">
        <v>1</v>
      </c>
      <c r="I169" s="24" t="n">
        <v>30</v>
      </c>
      <c r="J169" s="24" t="n">
        <v>11</v>
      </c>
      <c r="K169" s="24" t="n">
        <f aca="false">H169*I169</f>
        <v>30</v>
      </c>
      <c r="L169" s="24" t="n">
        <f aca="false">K169-H169*J169</f>
        <v>19</v>
      </c>
      <c r="M169" s="20" t="s">
        <v>50</v>
      </c>
    </row>
    <row r="170" customFormat="false" ht="15" hidden="false" customHeight="false" outlineLevel="0" collapsed="false">
      <c r="A170" s="20" t="s">
        <v>1337</v>
      </c>
      <c r="B170" s="23" t="n">
        <v>45741</v>
      </c>
      <c r="C170" s="20" t="n">
        <f aca="false">MONTH(B170)</f>
        <v>3</v>
      </c>
      <c r="D170" s="20" t="s">
        <v>174</v>
      </c>
      <c r="E170" s="20" t="s">
        <v>47</v>
      </c>
      <c r="F170" s="20" t="s">
        <v>81</v>
      </c>
      <c r="G170" s="20" t="s">
        <v>67</v>
      </c>
      <c r="H170" s="20" t="n">
        <v>4</v>
      </c>
      <c r="I170" s="24" t="n">
        <v>45</v>
      </c>
      <c r="J170" s="24" t="n">
        <v>17</v>
      </c>
      <c r="K170" s="24" t="n">
        <f aca="false">H170*I170</f>
        <v>180</v>
      </c>
      <c r="L170" s="24" t="n">
        <f aca="false">K170-H170*J170</f>
        <v>112</v>
      </c>
      <c r="M170" s="20" t="s">
        <v>50</v>
      </c>
    </row>
    <row r="171" customFormat="false" ht="15" hidden="false" customHeight="false" outlineLevel="0" collapsed="false">
      <c r="A171" s="20" t="s">
        <v>625</v>
      </c>
      <c r="B171" s="23" t="n">
        <v>45741</v>
      </c>
      <c r="C171" s="20" t="n">
        <f aca="false">MONTH(B171)</f>
        <v>3</v>
      </c>
      <c r="D171" s="20" t="s">
        <v>258</v>
      </c>
      <c r="E171" s="20" t="s">
        <v>47</v>
      </c>
      <c r="F171" s="20" t="s">
        <v>110</v>
      </c>
      <c r="G171" s="20" t="s">
        <v>111</v>
      </c>
      <c r="H171" s="20" t="n">
        <v>1</v>
      </c>
      <c r="I171" s="24" t="n">
        <v>16</v>
      </c>
      <c r="J171" s="24" t="n">
        <v>5</v>
      </c>
      <c r="K171" s="24" t="n">
        <f aca="false">H171*I171</f>
        <v>16</v>
      </c>
      <c r="L171" s="24" t="n">
        <f aca="false">K171-H171*J171</f>
        <v>11</v>
      </c>
      <c r="M171" s="20" t="s">
        <v>50</v>
      </c>
    </row>
    <row r="172" customFormat="false" ht="15" hidden="false" customHeight="false" outlineLevel="0" collapsed="false">
      <c r="A172" s="20" t="s">
        <v>429</v>
      </c>
      <c r="B172" s="23" t="n">
        <v>45741</v>
      </c>
      <c r="C172" s="20" t="n">
        <f aca="false">MONTH(B172)</f>
        <v>3</v>
      </c>
      <c r="D172" s="20" t="s">
        <v>431</v>
      </c>
      <c r="E172" s="20" t="s">
        <v>65</v>
      </c>
      <c r="F172" s="20" t="s">
        <v>110</v>
      </c>
      <c r="G172" s="20" t="s">
        <v>111</v>
      </c>
      <c r="H172" s="20" t="n">
        <v>1</v>
      </c>
      <c r="I172" s="24" t="n">
        <v>16</v>
      </c>
      <c r="J172" s="24" t="n">
        <v>5</v>
      </c>
      <c r="K172" s="24" t="n">
        <f aca="false">H172*I172</f>
        <v>16</v>
      </c>
      <c r="L172" s="24" t="n">
        <f aca="false">K172-H172*J172</f>
        <v>11</v>
      </c>
      <c r="M172" s="20" t="s">
        <v>50</v>
      </c>
    </row>
    <row r="173" customFormat="false" ht="15" hidden="false" customHeight="false" outlineLevel="0" collapsed="false">
      <c r="A173" s="20" t="s">
        <v>1164</v>
      </c>
      <c r="B173" s="23" t="n">
        <v>45741</v>
      </c>
      <c r="C173" s="20" t="n">
        <f aca="false">MONTH(B173)</f>
        <v>3</v>
      </c>
      <c r="D173" s="20" t="s">
        <v>502</v>
      </c>
      <c r="E173" s="20" t="s">
        <v>59</v>
      </c>
      <c r="F173" s="20" t="s">
        <v>81</v>
      </c>
      <c r="G173" s="20" t="s">
        <v>82</v>
      </c>
      <c r="H173" s="20" t="n">
        <v>3</v>
      </c>
      <c r="I173" s="24" t="n">
        <v>22</v>
      </c>
      <c r="J173" s="24" t="n">
        <v>8</v>
      </c>
      <c r="K173" s="24" t="n">
        <f aca="false">H173*I173</f>
        <v>66</v>
      </c>
      <c r="L173" s="24" t="n">
        <f aca="false">K173-H173*J173</f>
        <v>42</v>
      </c>
      <c r="M173" s="20" t="s">
        <v>50</v>
      </c>
    </row>
    <row r="174" customFormat="false" ht="15" hidden="false" customHeight="false" outlineLevel="0" collapsed="false">
      <c r="A174" s="20" t="s">
        <v>517</v>
      </c>
      <c r="B174" s="23" t="n">
        <v>45741</v>
      </c>
      <c r="C174" s="20" t="n">
        <f aca="false">MONTH(B174)</f>
        <v>3</v>
      </c>
      <c r="D174" s="20" t="s">
        <v>519</v>
      </c>
      <c r="E174" s="20" t="s">
        <v>47</v>
      </c>
      <c r="F174" s="20" t="s">
        <v>48</v>
      </c>
      <c r="G174" s="20" t="s">
        <v>49</v>
      </c>
      <c r="H174" s="20" t="n">
        <v>1</v>
      </c>
      <c r="I174" s="24" t="n">
        <v>18</v>
      </c>
      <c r="J174" s="24" t="n">
        <v>5</v>
      </c>
      <c r="K174" s="24" t="n">
        <f aca="false">H174*I174</f>
        <v>18</v>
      </c>
      <c r="L174" s="24" t="n">
        <f aca="false">K174-H174*J174</f>
        <v>13</v>
      </c>
      <c r="M174" s="20" t="s">
        <v>50</v>
      </c>
    </row>
    <row r="175" customFormat="false" ht="15" hidden="false" customHeight="false" outlineLevel="0" collapsed="false">
      <c r="A175" s="20" t="s">
        <v>1537</v>
      </c>
      <c r="B175" s="23" t="n">
        <v>45742</v>
      </c>
      <c r="C175" s="20" t="n">
        <f aca="false">MONTH(B175)</f>
        <v>3</v>
      </c>
      <c r="D175" s="20" t="s">
        <v>519</v>
      </c>
      <c r="E175" s="20" t="s">
        <v>47</v>
      </c>
      <c r="F175" s="20" t="s">
        <v>54</v>
      </c>
      <c r="G175" s="20" t="s">
        <v>55</v>
      </c>
      <c r="H175" s="20" t="n">
        <v>2</v>
      </c>
      <c r="I175" s="24" t="n">
        <v>38</v>
      </c>
      <c r="J175" s="24" t="n">
        <v>16</v>
      </c>
      <c r="K175" s="24" t="n">
        <f aca="false">H175*I175</f>
        <v>76</v>
      </c>
      <c r="L175" s="24" t="n">
        <f aca="false">K175-H175*J175</f>
        <v>44</v>
      </c>
      <c r="M175" s="20" t="s">
        <v>50</v>
      </c>
    </row>
    <row r="176" customFormat="false" ht="15" hidden="false" customHeight="false" outlineLevel="0" collapsed="false">
      <c r="A176" s="20" t="s">
        <v>918</v>
      </c>
      <c r="B176" s="23" t="n">
        <v>45742</v>
      </c>
      <c r="C176" s="20" t="n">
        <f aca="false">MONTH(B176)</f>
        <v>3</v>
      </c>
      <c r="D176" s="20" t="s">
        <v>570</v>
      </c>
      <c r="E176" s="20" t="s">
        <v>70</v>
      </c>
      <c r="F176" s="20" t="s">
        <v>92</v>
      </c>
      <c r="G176" s="20" t="s">
        <v>105</v>
      </c>
      <c r="H176" s="20" t="n">
        <v>1</v>
      </c>
      <c r="I176" s="24" t="n">
        <v>49</v>
      </c>
      <c r="J176" s="24" t="n">
        <v>22</v>
      </c>
      <c r="K176" s="24" t="n">
        <f aca="false">H176*I176</f>
        <v>49</v>
      </c>
      <c r="L176" s="24" t="n">
        <f aca="false">K176-H176*J176</f>
        <v>27</v>
      </c>
      <c r="M176" s="20" t="s">
        <v>50</v>
      </c>
    </row>
    <row r="177" customFormat="false" ht="15" hidden="false" customHeight="false" outlineLevel="0" collapsed="false">
      <c r="A177" s="20" t="s">
        <v>617</v>
      </c>
      <c r="B177" s="23" t="n">
        <v>45743</v>
      </c>
      <c r="C177" s="20" t="n">
        <f aca="false">MONTH(B177)</f>
        <v>3</v>
      </c>
      <c r="D177" s="20" t="s">
        <v>153</v>
      </c>
      <c r="E177" s="20" t="s">
        <v>65</v>
      </c>
      <c r="F177" s="20" t="s">
        <v>54</v>
      </c>
      <c r="G177" s="20" t="s">
        <v>72</v>
      </c>
      <c r="H177" s="20" t="n">
        <v>3</v>
      </c>
      <c r="I177" s="24" t="n">
        <v>24</v>
      </c>
      <c r="J177" s="24" t="n">
        <v>9</v>
      </c>
      <c r="K177" s="24" t="n">
        <f aca="false">H177*I177</f>
        <v>72</v>
      </c>
      <c r="L177" s="24" t="n">
        <f aca="false">K177-H177*J177</f>
        <v>45</v>
      </c>
      <c r="M177" s="20" t="s">
        <v>50</v>
      </c>
    </row>
    <row r="178" customFormat="false" ht="15" hidden="false" customHeight="false" outlineLevel="0" collapsed="false">
      <c r="A178" s="20" t="s">
        <v>487</v>
      </c>
      <c r="B178" s="23" t="n">
        <v>45743</v>
      </c>
      <c r="C178" s="20" t="n">
        <f aca="false">MONTH(B178)</f>
        <v>3</v>
      </c>
      <c r="D178" s="20" t="s">
        <v>258</v>
      </c>
      <c r="E178" s="20" t="s">
        <v>47</v>
      </c>
      <c r="F178" s="20" t="s">
        <v>54</v>
      </c>
      <c r="G178" s="20" t="s">
        <v>76</v>
      </c>
      <c r="H178" s="20" t="n">
        <v>3</v>
      </c>
      <c r="I178" s="24" t="n">
        <v>32</v>
      </c>
      <c r="J178" s="24" t="n">
        <v>13</v>
      </c>
      <c r="K178" s="24" t="n">
        <f aca="false">H178*I178</f>
        <v>96</v>
      </c>
      <c r="L178" s="24" t="n">
        <f aca="false">K178-H178*J178</f>
        <v>57</v>
      </c>
      <c r="M178" s="20" t="s">
        <v>50</v>
      </c>
    </row>
    <row r="179" customFormat="false" ht="15" hidden="false" customHeight="false" outlineLevel="0" collapsed="false">
      <c r="A179" s="20" t="s">
        <v>706</v>
      </c>
      <c r="B179" s="23" t="n">
        <v>45743</v>
      </c>
      <c r="C179" s="20" t="n">
        <f aca="false">MONTH(B179)</f>
        <v>3</v>
      </c>
      <c r="D179" s="20" t="s">
        <v>80</v>
      </c>
      <c r="E179" s="20" t="s">
        <v>65</v>
      </c>
      <c r="F179" s="20" t="s">
        <v>54</v>
      </c>
      <c r="G179" s="20" t="s">
        <v>72</v>
      </c>
      <c r="H179" s="20" t="n">
        <v>1</v>
      </c>
      <c r="I179" s="24" t="n">
        <v>24</v>
      </c>
      <c r="J179" s="24" t="n">
        <v>9</v>
      </c>
      <c r="K179" s="24" t="n">
        <f aca="false">H179*I179</f>
        <v>24</v>
      </c>
      <c r="L179" s="24" t="n">
        <f aca="false">K179-H179*J179</f>
        <v>15</v>
      </c>
      <c r="M179" s="20" t="s">
        <v>50</v>
      </c>
    </row>
    <row r="180" customFormat="false" ht="15" hidden="false" customHeight="false" outlineLevel="0" collapsed="false">
      <c r="A180" s="20" t="s">
        <v>1415</v>
      </c>
      <c r="B180" s="23" t="n">
        <v>45743</v>
      </c>
      <c r="C180" s="20" t="n">
        <f aca="false">MONTH(B180)</f>
        <v>3</v>
      </c>
      <c r="D180" s="20" t="s">
        <v>129</v>
      </c>
      <c r="E180" s="20" t="s">
        <v>59</v>
      </c>
      <c r="F180" s="20" t="s">
        <v>110</v>
      </c>
      <c r="G180" s="20" t="s">
        <v>236</v>
      </c>
      <c r="H180" s="20" t="n">
        <v>1</v>
      </c>
      <c r="I180" s="24" t="n">
        <v>30</v>
      </c>
      <c r="J180" s="24" t="n">
        <v>11</v>
      </c>
      <c r="K180" s="24" t="n">
        <f aca="false">H180*I180</f>
        <v>30</v>
      </c>
      <c r="L180" s="24" t="n">
        <f aca="false">K180-H180*J180</f>
        <v>19</v>
      </c>
      <c r="M180" s="20" t="s">
        <v>50</v>
      </c>
    </row>
    <row r="181" customFormat="false" ht="15" hidden="false" customHeight="false" outlineLevel="0" collapsed="false">
      <c r="A181" s="20" t="s">
        <v>1261</v>
      </c>
      <c r="B181" s="23" t="n">
        <v>45744</v>
      </c>
      <c r="C181" s="20" t="n">
        <f aca="false">MONTH(B181)</f>
        <v>3</v>
      </c>
      <c r="D181" s="20" t="s">
        <v>387</v>
      </c>
      <c r="E181" s="20" t="s">
        <v>65</v>
      </c>
      <c r="F181" s="20" t="s">
        <v>54</v>
      </c>
      <c r="G181" s="20" t="s">
        <v>55</v>
      </c>
      <c r="H181" s="20" t="n">
        <v>2</v>
      </c>
      <c r="I181" s="24" t="n">
        <v>38</v>
      </c>
      <c r="J181" s="24" t="n">
        <v>16</v>
      </c>
      <c r="K181" s="24" t="n">
        <f aca="false">H181*I181</f>
        <v>76</v>
      </c>
      <c r="L181" s="24" t="n">
        <f aca="false">K181-H181*J181</f>
        <v>44</v>
      </c>
      <c r="M181" s="20" t="s">
        <v>50</v>
      </c>
    </row>
    <row r="182" customFormat="false" ht="15" hidden="false" customHeight="false" outlineLevel="0" collapsed="false">
      <c r="A182" s="20" t="s">
        <v>1157</v>
      </c>
      <c r="B182" s="23" t="n">
        <v>45748</v>
      </c>
      <c r="C182" s="20" t="n">
        <f aca="false">MONTH(B182)</f>
        <v>4</v>
      </c>
      <c r="D182" s="20" t="s">
        <v>1010</v>
      </c>
      <c r="E182" s="20" t="s">
        <v>59</v>
      </c>
      <c r="F182" s="20" t="s">
        <v>92</v>
      </c>
      <c r="G182" s="20" t="s">
        <v>196</v>
      </c>
      <c r="H182" s="20" t="n">
        <v>1</v>
      </c>
      <c r="I182" s="24" t="n">
        <v>89</v>
      </c>
      <c r="J182" s="24" t="n">
        <v>41</v>
      </c>
      <c r="K182" s="24" t="n">
        <f aca="false">H182*I182</f>
        <v>89</v>
      </c>
      <c r="L182" s="24" t="n">
        <f aca="false">K182-H182*J182</f>
        <v>48</v>
      </c>
      <c r="M182" s="20" t="s">
        <v>50</v>
      </c>
    </row>
    <row r="183" customFormat="false" ht="15" hidden="false" customHeight="false" outlineLevel="0" collapsed="false">
      <c r="A183" s="20" t="s">
        <v>1049</v>
      </c>
      <c r="B183" s="23" t="n">
        <v>45748</v>
      </c>
      <c r="C183" s="20" t="n">
        <f aca="false">MONTH(B183)</f>
        <v>4</v>
      </c>
      <c r="D183" s="20" t="s">
        <v>156</v>
      </c>
      <c r="E183" s="20" t="s">
        <v>47</v>
      </c>
      <c r="F183" s="20" t="s">
        <v>92</v>
      </c>
      <c r="G183" s="20" t="s">
        <v>105</v>
      </c>
      <c r="H183" s="20" t="n">
        <v>1</v>
      </c>
      <c r="I183" s="24" t="n">
        <v>49</v>
      </c>
      <c r="J183" s="24" t="n">
        <v>22</v>
      </c>
      <c r="K183" s="24" t="n">
        <f aca="false">H183*I183</f>
        <v>49</v>
      </c>
      <c r="L183" s="24" t="n">
        <f aca="false">K183-H183*J183</f>
        <v>27</v>
      </c>
      <c r="M183" s="20" t="s">
        <v>50</v>
      </c>
    </row>
    <row r="184" customFormat="false" ht="15" hidden="false" customHeight="false" outlineLevel="0" collapsed="false">
      <c r="A184" s="20" t="s">
        <v>1646</v>
      </c>
      <c r="B184" s="23" t="n">
        <v>45748</v>
      </c>
      <c r="C184" s="20" t="n">
        <f aca="false">MONTH(B184)</f>
        <v>4</v>
      </c>
      <c r="D184" s="20" t="s">
        <v>46</v>
      </c>
      <c r="E184" s="20" t="s">
        <v>47</v>
      </c>
      <c r="F184" s="20" t="s">
        <v>81</v>
      </c>
      <c r="G184" s="20" t="s">
        <v>61</v>
      </c>
      <c r="H184" s="20" t="n">
        <v>1</v>
      </c>
      <c r="I184" s="24" t="n">
        <v>35</v>
      </c>
      <c r="J184" s="24" t="n">
        <v>12</v>
      </c>
      <c r="K184" s="24" t="n">
        <f aca="false">H184*I184</f>
        <v>35</v>
      </c>
      <c r="L184" s="24" t="n">
        <f aca="false">K184-H184*J184</f>
        <v>23</v>
      </c>
      <c r="M184" s="20" t="s">
        <v>50</v>
      </c>
    </row>
    <row r="185" customFormat="false" ht="15" hidden="false" customHeight="false" outlineLevel="0" collapsed="false">
      <c r="A185" s="20" t="s">
        <v>1211</v>
      </c>
      <c r="B185" s="23" t="n">
        <v>45748</v>
      </c>
      <c r="C185" s="20" t="n">
        <f aca="false">MONTH(B185)</f>
        <v>4</v>
      </c>
      <c r="D185" s="20" t="s">
        <v>250</v>
      </c>
      <c r="E185" s="20" t="s">
        <v>65</v>
      </c>
      <c r="F185" s="20" t="s">
        <v>54</v>
      </c>
      <c r="G185" s="20" t="s">
        <v>76</v>
      </c>
      <c r="H185" s="20" t="n">
        <v>2</v>
      </c>
      <c r="I185" s="24" t="n">
        <v>32</v>
      </c>
      <c r="J185" s="24" t="n">
        <v>13</v>
      </c>
      <c r="K185" s="24" t="n">
        <f aca="false">H185*I185</f>
        <v>64</v>
      </c>
      <c r="L185" s="24" t="n">
        <f aca="false">K185-H185*J185</f>
        <v>38</v>
      </c>
      <c r="M185" s="20" t="s">
        <v>50</v>
      </c>
    </row>
    <row r="186" customFormat="false" ht="15" hidden="false" customHeight="false" outlineLevel="0" collapsed="false">
      <c r="A186" s="20" t="s">
        <v>515</v>
      </c>
      <c r="B186" s="23" t="n">
        <v>45748</v>
      </c>
      <c r="C186" s="20" t="n">
        <f aca="false">MONTH(B186)</f>
        <v>4</v>
      </c>
      <c r="D186" s="20" t="s">
        <v>125</v>
      </c>
      <c r="E186" s="20" t="s">
        <v>109</v>
      </c>
      <c r="F186" s="20" t="s">
        <v>92</v>
      </c>
      <c r="G186" s="20" t="s">
        <v>196</v>
      </c>
      <c r="H186" s="20" t="n">
        <v>1</v>
      </c>
      <c r="I186" s="24" t="n">
        <v>89</v>
      </c>
      <c r="J186" s="24" t="n">
        <v>41</v>
      </c>
      <c r="K186" s="24" t="n">
        <f aca="false">H186*I186</f>
        <v>89</v>
      </c>
      <c r="L186" s="24" t="n">
        <f aca="false">K186-H186*J186</f>
        <v>48</v>
      </c>
      <c r="M186" s="20" t="s">
        <v>50</v>
      </c>
    </row>
    <row r="187" customFormat="false" ht="15" hidden="false" customHeight="false" outlineLevel="0" collapsed="false">
      <c r="A187" s="20" t="s">
        <v>1368</v>
      </c>
      <c r="B187" s="23" t="n">
        <v>45749</v>
      </c>
      <c r="C187" s="20" t="n">
        <f aca="false">MONTH(B187)</f>
        <v>4</v>
      </c>
      <c r="D187" s="20" t="s">
        <v>143</v>
      </c>
      <c r="E187" s="20" t="s">
        <v>70</v>
      </c>
      <c r="F187" s="20" t="s">
        <v>81</v>
      </c>
      <c r="G187" s="20" t="s">
        <v>67</v>
      </c>
      <c r="H187" s="20" t="n">
        <v>1</v>
      </c>
      <c r="I187" s="24" t="n">
        <v>45</v>
      </c>
      <c r="J187" s="24" t="n">
        <v>17</v>
      </c>
      <c r="K187" s="24" t="n">
        <f aca="false">H187*I187</f>
        <v>45</v>
      </c>
      <c r="L187" s="24" t="n">
        <f aca="false">K187-H187*J187</f>
        <v>28</v>
      </c>
      <c r="M187" s="20" t="s">
        <v>50</v>
      </c>
    </row>
    <row r="188" customFormat="false" ht="15" hidden="false" customHeight="false" outlineLevel="0" collapsed="false">
      <c r="A188" s="20" t="s">
        <v>203</v>
      </c>
      <c r="B188" s="23" t="n">
        <v>45749</v>
      </c>
      <c r="C188" s="20" t="n">
        <f aca="false">MONTH(B188)</f>
        <v>4</v>
      </c>
      <c r="D188" s="20" t="s">
        <v>189</v>
      </c>
      <c r="E188" s="20" t="s">
        <v>47</v>
      </c>
      <c r="F188" s="20" t="s">
        <v>92</v>
      </c>
      <c r="G188" s="20" t="s">
        <v>196</v>
      </c>
      <c r="H188" s="20" t="n">
        <v>1</v>
      </c>
      <c r="I188" s="24" t="n">
        <v>89</v>
      </c>
      <c r="J188" s="24" t="n">
        <v>41</v>
      </c>
      <c r="K188" s="24" t="n">
        <f aca="false">H188*I188</f>
        <v>89</v>
      </c>
      <c r="L188" s="24" t="n">
        <f aca="false">K188-H188*J188</f>
        <v>48</v>
      </c>
      <c r="M188" s="20" t="s">
        <v>50</v>
      </c>
    </row>
    <row r="189" customFormat="false" ht="15" hidden="false" customHeight="false" outlineLevel="0" collapsed="false">
      <c r="A189" s="20" t="s">
        <v>702</v>
      </c>
      <c r="B189" s="23" t="n">
        <v>45749</v>
      </c>
      <c r="C189" s="20" t="n">
        <f aca="false">MONTH(B189)</f>
        <v>4</v>
      </c>
      <c r="D189" s="20" t="s">
        <v>286</v>
      </c>
      <c r="E189" s="20" t="s">
        <v>70</v>
      </c>
      <c r="F189" s="20" t="s">
        <v>81</v>
      </c>
      <c r="G189" s="20" t="s">
        <v>82</v>
      </c>
      <c r="H189" s="20" t="n">
        <v>1</v>
      </c>
      <c r="I189" s="24" t="n">
        <v>22</v>
      </c>
      <c r="J189" s="24" t="n">
        <v>8</v>
      </c>
      <c r="K189" s="24" t="n">
        <f aca="false">H189*I189</f>
        <v>22</v>
      </c>
      <c r="L189" s="24" t="n">
        <f aca="false">K189-H189*J189</f>
        <v>14</v>
      </c>
      <c r="M189" s="20" t="s">
        <v>50</v>
      </c>
    </row>
    <row r="190" customFormat="false" ht="15" hidden="false" customHeight="false" outlineLevel="0" collapsed="false">
      <c r="A190" s="20" t="s">
        <v>1517</v>
      </c>
      <c r="B190" s="23" t="n">
        <v>45750</v>
      </c>
      <c r="C190" s="20" t="n">
        <f aca="false">MONTH(B190)</f>
        <v>4</v>
      </c>
      <c r="D190" s="20" t="s">
        <v>431</v>
      </c>
      <c r="E190" s="20" t="s">
        <v>47</v>
      </c>
      <c r="F190" s="20" t="s">
        <v>92</v>
      </c>
      <c r="G190" s="20" t="s">
        <v>105</v>
      </c>
      <c r="H190" s="20" t="n">
        <v>2</v>
      </c>
      <c r="I190" s="24" t="n">
        <v>49</v>
      </c>
      <c r="J190" s="24" t="n">
        <v>22</v>
      </c>
      <c r="K190" s="24" t="n">
        <f aca="false">H190*I190</f>
        <v>98</v>
      </c>
      <c r="L190" s="24" t="n">
        <f aca="false">K190-H190*J190</f>
        <v>54</v>
      </c>
      <c r="M190" s="20" t="s">
        <v>112</v>
      </c>
    </row>
    <row r="191" customFormat="false" ht="15" hidden="false" customHeight="false" outlineLevel="0" collapsed="false">
      <c r="A191" s="20" t="s">
        <v>608</v>
      </c>
      <c r="B191" s="23" t="n">
        <v>45751</v>
      </c>
      <c r="C191" s="20" t="n">
        <f aca="false">MONTH(B191)</f>
        <v>4</v>
      </c>
      <c r="D191" s="20" t="s">
        <v>119</v>
      </c>
      <c r="E191" s="20" t="s">
        <v>109</v>
      </c>
      <c r="F191" s="20" t="s">
        <v>48</v>
      </c>
      <c r="G191" s="20" t="s">
        <v>49</v>
      </c>
      <c r="H191" s="20" t="n">
        <v>2</v>
      </c>
      <c r="I191" s="24" t="n">
        <v>18</v>
      </c>
      <c r="J191" s="24" t="n">
        <v>5</v>
      </c>
      <c r="K191" s="24" t="n">
        <f aca="false">H191*I191</f>
        <v>36</v>
      </c>
      <c r="L191" s="24" t="n">
        <f aca="false">K191-H191*J191</f>
        <v>26</v>
      </c>
      <c r="M191" s="20" t="s">
        <v>50</v>
      </c>
    </row>
    <row r="192" customFormat="false" ht="15" hidden="false" customHeight="false" outlineLevel="0" collapsed="false">
      <c r="A192" s="20" t="s">
        <v>1004</v>
      </c>
      <c r="B192" s="23" t="n">
        <v>45752</v>
      </c>
      <c r="C192" s="20" t="n">
        <f aca="false">MONTH(B192)</f>
        <v>4</v>
      </c>
      <c r="D192" s="20" t="s">
        <v>64</v>
      </c>
      <c r="E192" s="20" t="s">
        <v>70</v>
      </c>
      <c r="F192" s="20" t="s">
        <v>81</v>
      </c>
      <c r="G192" s="20" t="s">
        <v>67</v>
      </c>
      <c r="H192" s="20" t="n">
        <v>1</v>
      </c>
      <c r="I192" s="24" t="n">
        <v>45</v>
      </c>
      <c r="J192" s="24" t="n">
        <v>17</v>
      </c>
      <c r="K192" s="24" t="n">
        <f aca="false">H192*I192</f>
        <v>45</v>
      </c>
      <c r="L192" s="24" t="n">
        <f aca="false">K192-H192*J192</f>
        <v>28</v>
      </c>
      <c r="M192" s="20" t="s">
        <v>50</v>
      </c>
    </row>
    <row r="193" customFormat="false" ht="15" hidden="false" customHeight="false" outlineLevel="0" collapsed="false">
      <c r="A193" s="20" t="s">
        <v>987</v>
      </c>
      <c r="B193" s="23" t="n">
        <v>45753</v>
      </c>
      <c r="C193" s="20" t="n">
        <f aca="false">MONTH(B193)</f>
        <v>4</v>
      </c>
      <c r="D193" s="20" t="s">
        <v>1197</v>
      </c>
      <c r="E193" s="20" t="s">
        <v>65</v>
      </c>
      <c r="F193" s="20" t="s">
        <v>54</v>
      </c>
      <c r="G193" s="20" t="s">
        <v>72</v>
      </c>
      <c r="H193" s="20" t="n">
        <v>2</v>
      </c>
      <c r="I193" s="24" t="n">
        <v>24</v>
      </c>
      <c r="J193" s="24" t="n">
        <v>9</v>
      </c>
      <c r="K193" s="24" t="n">
        <f aca="false">H193*I193</f>
        <v>48</v>
      </c>
      <c r="L193" s="24" t="n">
        <f aca="false">K193-H193*J193</f>
        <v>30</v>
      </c>
      <c r="M193" s="20" t="s">
        <v>50</v>
      </c>
    </row>
    <row r="194" customFormat="false" ht="15" hidden="false" customHeight="false" outlineLevel="0" collapsed="false">
      <c r="A194" s="20" t="s">
        <v>791</v>
      </c>
      <c r="B194" s="23" t="n">
        <v>45753</v>
      </c>
      <c r="C194" s="20" t="n">
        <f aca="false">MONTH(B194)</f>
        <v>4</v>
      </c>
      <c r="D194" s="20" t="s">
        <v>306</v>
      </c>
      <c r="E194" s="20" t="s">
        <v>47</v>
      </c>
      <c r="F194" s="20" t="s">
        <v>48</v>
      </c>
      <c r="G194" s="20" t="s">
        <v>144</v>
      </c>
      <c r="H194" s="20" t="n">
        <v>1</v>
      </c>
      <c r="I194" s="24" t="n">
        <v>54</v>
      </c>
      <c r="J194" s="24" t="n">
        <v>24</v>
      </c>
      <c r="K194" s="24" t="n">
        <f aca="false">H194*I194</f>
        <v>54</v>
      </c>
      <c r="L194" s="24" t="n">
        <f aca="false">K194-H194*J194</f>
        <v>30</v>
      </c>
      <c r="M194" s="20" t="s">
        <v>50</v>
      </c>
    </row>
    <row r="195" customFormat="false" ht="15" hidden="false" customHeight="false" outlineLevel="0" collapsed="false">
      <c r="A195" s="20" t="s">
        <v>835</v>
      </c>
      <c r="B195" s="23" t="n">
        <v>45753</v>
      </c>
      <c r="C195" s="20" t="n">
        <f aca="false">MONTH(B195)</f>
        <v>4</v>
      </c>
      <c r="D195" s="20" t="s">
        <v>80</v>
      </c>
      <c r="E195" s="20" t="s">
        <v>65</v>
      </c>
      <c r="F195" s="20" t="s">
        <v>81</v>
      </c>
      <c r="G195" s="20" t="s">
        <v>82</v>
      </c>
      <c r="H195" s="20" t="n">
        <v>1</v>
      </c>
      <c r="I195" s="24" t="n">
        <v>22</v>
      </c>
      <c r="J195" s="24" t="n">
        <v>8</v>
      </c>
      <c r="K195" s="24" t="n">
        <f aca="false">H195*I195</f>
        <v>22</v>
      </c>
      <c r="L195" s="24" t="n">
        <f aca="false">K195-H195*J195</f>
        <v>14</v>
      </c>
      <c r="M195" s="20" t="s">
        <v>50</v>
      </c>
    </row>
    <row r="196" customFormat="false" ht="15" hidden="false" customHeight="false" outlineLevel="0" collapsed="false">
      <c r="A196" s="20" t="s">
        <v>1666</v>
      </c>
      <c r="B196" s="23" t="n">
        <v>45754</v>
      </c>
      <c r="C196" s="20" t="n">
        <f aca="false">MONTH(B196)</f>
        <v>4</v>
      </c>
      <c r="D196" s="20" t="s">
        <v>690</v>
      </c>
      <c r="E196" s="20" t="s">
        <v>47</v>
      </c>
      <c r="F196" s="20" t="s">
        <v>54</v>
      </c>
      <c r="G196" s="20" t="s">
        <v>76</v>
      </c>
      <c r="H196" s="20" t="n">
        <v>2</v>
      </c>
      <c r="I196" s="24" t="n">
        <v>32</v>
      </c>
      <c r="J196" s="24" t="n">
        <v>13</v>
      </c>
      <c r="K196" s="24" t="n">
        <f aca="false">H196*I196</f>
        <v>64</v>
      </c>
      <c r="L196" s="24" t="n">
        <f aca="false">K196-H196*J196</f>
        <v>38</v>
      </c>
      <c r="M196" s="20" t="s">
        <v>50</v>
      </c>
    </row>
    <row r="197" customFormat="false" ht="15" hidden="false" customHeight="false" outlineLevel="0" collapsed="false">
      <c r="A197" s="20" t="s">
        <v>637</v>
      </c>
      <c r="B197" s="23" t="n">
        <v>45754</v>
      </c>
      <c r="C197" s="20" t="n">
        <f aca="false">MONTH(B197)</f>
        <v>4</v>
      </c>
      <c r="D197" s="20" t="s">
        <v>86</v>
      </c>
      <c r="E197" s="20" t="s">
        <v>109</v>
      </c>
      <c r="F197" s="20" t="s">
        <v>48</v>
      </c>
      <c r="G197" s="20" t="s">
        <v>49</v>
      </c>
      <c r="H197" s="20" t="n">
        <v>2</v>
      </c>
      <c r="I197" s="24" t="n">
        <v>18</v>
      </c>
      <c r="J197" s="24" t="n">
        <v>5</v>
      </c>
      <c r="K197" s="24" t="n">
        <f aca="false">H197*I197</f>
        <v>36</v>
      </c>
      <c r="L197" s="24" t="n">
        <f aca="false">K197-H197*J197</f>
        <v>26</v>
      </c>
      <c r="M197" s="20" t="s">
        <v>50</v>
      </c>
    </row>
    <row r="198" customFormat="false" ht="15" hidden="false" customHeight="false" outlineLevel="0" collapsed="false">
      <c r="A198" s="20" t="s">
        <v>1372</v>
      </c>
      <c r="B198" s="23" t="n">
        <v>45755</v>
      </c>
      <c r="C198" s="20" t="n">
        <f aca="false">MONTH(B198)</f>
        <v>4</v>
      </c>
      <c r="D198" s="20" t="s">
        <v>278</v>
      </c>
      <c r="E198" s="20" t="s">
        <v>47</v>
      </c>
      <c r="F198" s="20" t="s">
        <v>92</v>
      </c>
      <c r="G198" s="20" t="s">
        <v>196</v>
      </c>
      <c r="H198" s="20" t="n">
        <v>1</v>
      </c>
      <c r="I198" s="24" t="n">
        <v>89</v>
      </c>
      <c r="J198" s="24" t="n">
        <v>41</v>
      </c>
      <c r="K198" s="24" t="n">
        <f aca="false">H198*I198</f>
        <v>89</v>
      </c>
      <c r="L198" s="24" t="n">
        <f aca="false">K198-H198*J198</f>
        <v>48</v>
      </c>
      <c r="M198" s="20" t="s">
        <v>50</v>
      </c>
    </row>
    <row r="199" customFormat="false" ht="15" hidden="false" customHeight="false" outlineLevel="0" collapsed="false">
      <c r="A199" s="20" t="s">
        <v>307</v>
      </c>
      <c r="B199" s="23" t="n">
        <v>45755</v>
      </c>
      <c r="C199" s="20" t="n">
        <f aca="false">MONTH(B199)</f>
        <v>4</v>
      </c>
      <c r="D199" s="20" t="s">
        <v>239</v>
      </c>
      <c r="E199" s="20" t="s">
        <v>47</v>
      </c>
      <c r="F199" s="20" t="s">
        <v>81</v>
      </c>
      <c r="G199" s="20" t="s">
        <v>82</v>
      </c>
      <c r="H199" s="20" t="n">
        <v>3</v>
      </c>
      <c r="I199" s="24" t="n">
        <v>22</v>
      </c>
      <c r="J199" s="24" t="n">
        <v>8</v>
      </c>
      <c r="K199" s="24" t="n">
        <f aca="false">H199*I199</f>
        <v>66</v>
      </c>
      <c r="L199" s="24" t="n">
        <f aca="false">K199-H199*J199</f>
        <v>42</v>
      </c>
      <c r="M199" s="20" t="s">
        <v>50</v>
      </c>
    </row>
    <row r="200" customFormat="false" ht="15" hidden="false" customHeight="false" outlineLevel="0" collapsed="false">
      <c r="A200" s="20" t="s">
        <v>1255</v>
      </c>
      <c r="B200" s="23" t="n">
        <v>45755</v>
      </c>
      <c r="C200" s="20" t="n">
        <f aca="false">MONTH(B200)</f>
        <v>4</v>
      </c>
      <c r="D200" s="20" t="s">
        <v>192</v>
      </c>
      <c r="E200" s="20" t="s">
        <v>47</v>
      </c>
      <c r="F200" s="20" t="s">
        <v>48</v>
      </c>
      <c r="G200" s="20" t="s">
        <v>116</v>
      </c>
      <c r="H200" s="20" t="n">
        <v>1</v>
      </c>
      <c r="I200" s="24" t="n">
        <v>28</v>
      </c>
      <c r="J200" s="24" t="n">
        <v>9</v>
      </c>
      <c r="K200" s="24" t="n">
        <f aca="false">H200*I200</f>
        <v>28</v>
      </c>
      <c r="L200" s="24" t="n">
        <f aca="false">K200-H200*J200</f>
        <v>19</v>
      </c>
      <c r="M200" s="20" t="s">
        <v>50</v>
      </c>
    </row>
    <row r="201" customFormat="false" ht="15" hidden="false" customHeight="false" outlineLevel="0" collapsed="false">
      <c r="A201" s="20" t="s">
        <v>1622</v>
      </c>
      <c r="B201" s="23" t="n">
        <v>45756</v>
      </c>
      <c r="C201" s="20" t="n">
        <f aca="false">MONTH(B201)</f>
        <v>4</v>
      </c>
      <c r="D201" s="20" t="s">
        <v>934</v>
      </c>
      <c r="E201" s="20" t="s">
        <v>59</v>
      </c>
      <c r="F201" s="20" t="s">
        <v>54</v>
      </c>
      <c r="G201" s="20" t="s">
        <v>72</v>
      </c>
      <c r="H201" s="20" t="n">
        <v>3</v>
      </c>
      <c r="I201" s="24" t="n">
        <v>24</v>
      </c>
      <c r="J201" s="24" t="n">
        <v>9</v>
      </c>
      <c r="K201" s="24" t="n">
        <f aca="false">H201*I201</f>
        <v>72</v>
      </c>
      <c r="L201" s="24" t="n">
        <f aca="false">K201-H201*J201</f>
        <v>45</v>
      </c>
      <c r="M201" s="20" t="s">
        <v>112</v>
      </c>
    </row>
    <row r="202" customFormat="false" ht="15" hidden="false" customHeight="false" outlineLevel="0" collapsed="false">
      <c r="A202" s="20" t="s">
        <v>1533</v>
      </c>
      <c r="B202" s="23" t="n">
        <v>45756</v>
      </c>
      <c r="C202" s="20" t="n">
        <f aca="false">MONTH(B202)</f>
        <v>4</v>
      </c>
      <c r="D202" s="20" t="s">
        <v>431</v>
      </c>
      <c r="E202" s="20" t="s">
        <v>47</v>
      </c>
      <c r="F202" s="20" t="s">
        <v>92</v>
      </c>
      <c r="G202" s="20" t="s">
        <v>105</v>
      </c>
      <c r="H202" s="20" t="n">
        <v>1</v>
      </c>
      <c r="I202" s="24" t="n">
        <v>49</v>
      </c>
      <c r="J202" s="24" t="n">
        <v>22</v>
      </c>
      <c r="K202" s="24" t="n">
        <f aca="false">H202*I202</f>
        <v>49</v>
      </c>
      <c r="L202" s="24" t="n">
        <f aca="false">K202-H202*J202</f>
        <v>27</v>
      </c>
      <c r="M202" s="20" t="s">
        <v>50</v>
      </c>
    </row>
    <row r="203" customFormat="false" ht="15" hidden="false" customHeight="false" outlineLevel="0" collapsed="false">
      <c r="A203" s="20" t="s">
        <v>1021</v>
      </c>
      <c r="B203" s="23" t="n">
        <v>45757</v>
      </c>
      <c r="C203" s="20" t="n">
        <f aca="false">MONTH(B203)</f>
        <v>4</v>
      </c>
      <c r="D203" s="20" t="s">
        <v>64</v>
      </c>
      <c r="E203" s="20" t="s">
        <v>59</v>
      </c>
      <c r="F203" s="20" t="s">
        <v>92</v>
      </c>
      <c r="G203" s="20" t="s">
        <v>93</v>
      </c>
      <c r="H203" s="20" t="n">
        <v>3</v>
      </c>
      <c r="I203" s="24" t="n">
        <v>15</v>
      </c>
      <c r="J203" s="24" t="n">
        <v>5</v>
      </c>
      <c r="K203" s="24" t="n">
        <f aca="false">H203*I203</f>
        <v>45</v>
      </c>
      <c r="L203" s="24" t="n">
        <f aca="false">K203-H203*J203</f>
        <v>30</v>
      </c>
      <c r="M203" s="20" t="s">
        <v>50</v>
      </c>
    </row>
    <row r="204" customFormat="false" ht="15" hidden="false" customHeight="false" outlineLevel="0" collapsed="false">
      <c r="A204" s="20" t="s">
        <v>492</v>
      </c>
      <c r="B204" s="23" t="n">
        <v>45758</v>
      </c>
      <c r="C204" s="20" t="n">
        <f aca="false">MONTH(B204)</f>
        <v>4</v>
      </c>
      <c r="D204" s="20" t="s">
        <v>494</v>
      </c>
      <c r="E204" s="20" t="s">
        <v>70</v>
      </c>
      <c r="F204" s="20" t="s">
        <v>92</v>
      </c>
      <c r="G204" s="20" t="s">
        <v>93</v>
      </c>
      <c r="H204" s="20" t="n">
        <v>1</v>
      </c>
      <c r="I204" s="24" t="n">
        <v>15</v>
      </c>
      <c r="J204" s="24" t="n">
        <v>5</v>
      </c>
      <c r="K204" s="24" t="n">
        <f aca="false">H204*I204</f>
        <v>15</v>
      </c>
      <c r="L204" s="24" t="n">
        <f aca="false">K204-H204*J204</f>
        <v>10</v>
      </c>
      <c r="M204" s="20" t="s">
        <v>50</v>
      </c>
    </row>
    <row r="205" customFormat="false" ht="15" hidden="false" customHeight="false" outlineLevel="0" collapsed="false">
      <c r="A205" s="20" t="s">
        <v>1187</v>
      </c>
      <c r="B205" s="23" t="n">
        <v>45758</v>
      </c>
      <c r="C205" s="20" t="n">
        <f aca="false">MONTH(B205)</f>
        <v>4</v>
      </c>
      <c r="D205" s="20" t="s">
        <v>476</v>
      </c>
      <c r="E205" s="20" t="s">
        <v>47</v>
      </c>
      <c r="F205" s="20" t="s">
        <v>92</v>
      </c>
      <c r="G205" s="20" t="s">
        <v>93</v>
      </c>
      <c r="H205" s="20" t="n">
        <v>1</v>
      </c>
      <c r="I205" s="24" t="n">
        <v>15</v>
      </c>
      <c r="J205" s="24" t="n">
        <v>5</v>
      </c>
      <c r="K205" s="24" t="n">
        <f aca="false">H205*I205</f>
        <v>15</v>
      </c>
      <c r="L205" s="24" t="n">
        <f aca="false">K205-H205*J205</f>
        <v>10</v>
      </c>
      <c r="M205" s="20" t="s">
        <v>112</v>
      </c>
    </row>
    <row r="206" customFormat="false" ht="15" hidden="false" customHeight="false" outlineLevel="0" collapsed="false">
      <c r="A206" s="20" t="s">
        <v>1593</v>
      </c>
      <c r="B206" s="23" t="n">
        <v>45761</v>
      </c>
      <c r="C206" s="20" t="n">
        <f aca="false">MONTH(B206)</f>
        <v>4</v>
      </c>
      <c r="D206" s="20" t="s">
        <v>592</v>
      </c>
      <c r="E206" s="20" t="s">
        <v>70</v>
      </c>
      <c r="F206" s="20" t="s">
        <v>92</v>
      </c>
      <c r="G206" s="20" t="s">
        <v>196</v>
      </c>
      <c r="H206" s="20" t="n">
        <v>1</v>
      </c>
      <c r="I206" s="24" t="n">
        <v>89</v>
      </c>
      <c r="J206" s="24" t="n">
        <v>41</v>
      </c>
      <c r="K206" s="24" t="n">
        <f aca="false">H206*I206</f>
        <v>89</v>
      </c>
      <c r="L206" s="24" t="n">
        <f aca="false">K206-H206*J206</f>
        <v>48</v>
      </c>
      <c r="M206" s="20" t="s">
        <v>50</v>
      </c>
    </row>
    <row r="207" customFormat="false" ht="15" hidden="false" customHeight="false" outlineLevel="0" collapsed="false">
      <c r="A207" s="20" t="s">
        <v>1452</v>
      </c>
      <c r="B207" s="23" t="n">
        <v>45761</v>
      </c>
      <c r="C207" s="20" t="n">
        <f aca="false">MONTH(B207)</f>
        <v>4</v>
      </c>
      <c r="D207" s="20" t="s">
        <v>397</v>
      </c>
      <c r="E207" s="20" t="s">
        <v>59</v>
      </c>
      <c r="F207" s="20" t="s">
        <v>110</v>
      </c>
      <c r="G207" s="20" t="s">
        <v>121</v>
      </c>
      <c r="H207" s="20" t="n">
        <v>1</v>
      </c>
      <c r="I207" s="24" t="n">
        <v>21</v>
      </c>
      <c r="J207" s="24" t="n">
        <v>7</v>
      </c>
      <c r="K207" s="24" t="n">
        <f aca="false">H207*I207</f>
        <v>21</v>
      </c>
      <c r="L207" s="24" t="n">
        <f aca="false">K207-H207*J207</f>
        <v>14</v>
      </c>
      <c r="M207" s="20" t="s">
        <v>50</v>
      </c>
    </row>
    <row r="208" customFormat="false" ht="15" hidden="false" customHeight="false" outlineLevel="0" collapsed="false">
      <c r="A208" s="20" t="s">
        <v>1222</v>
      </c>
      <c r="B208" s="23" t="n">
        <v>45762</v>
      </c>
      <c r="C208" s="20" t="n">
        <f aca="false">MONTH(B208)</f>
        <v>4</v>
      </c>
      <c r="D208" s="20" t="s">
        <v>227</v>
      </c>
      <c r="E208" s="20" t="s">
        <v>47</v>
      </c>
      <c r="F208" s="20" t="s">
        <v>54</v>
      </c>
      <c r="G208" s="20" t="s">
        <v>72</v>
      </c>
      <c r="H208" s="20" t="n">
        <v>1</v>
      </c>
      <c r="I208" s="24" t="n">
        <v>24</v>
      </c>
      <c r="J208" s="24" t="n">
        <v>9</v>
      </c>
      <c r="K208" s="24" t="n">
        <f aca="false">H208*I208</f>
        <v>24</v>
      </c>
      <c r="L208" s="24" t="n">
        <f aca="false">K208-H208*J208</f>
        <v>15</v>
      </c>
      <c r="M208" s="20" t="s">
        <v>50</v>
      </c>
    </row>
    <row r="209" customFormat="false" ht="15" hidden="false" customHeight="false" outlineLevel="0" collapsed="false">
      <c r="A209" s="20" t="s">
        <v>409</v>
      </c>
      <c r="B209" s="23" t="n">
        <v>45762</v>
      </c>
      <c r="C209" s="20" t="n">
        <f aca="false">MONTH(B209)</f>
        <v>4</v>
      </c>
      <c r="D209" s="20" t="s">
        <v>278</v>
      </c>
      <c r="E209" s="20" t="s">
        <v>70</v>
      </c>
      <c r="F209" s="20" t="s">
        <v>48</v>
      </c>
      <c r="G209" s="20" t="s">
        <v>49</v>
      </c>
      <c r="H209" s="20" t="n">
        <v>1</v>
      </c>
      <c r="I209" s="24" t="n">
        <v>18</v>
      </c>
      <c r="J209" s="24" t="n">
        <v>5</v>
      </c>
      <c r="K209" s="24" t="n">
        <f aca="false">H209*I209</f>
        <v>18</v>
      </c>
      <c r="L209" s="24" t="n">
        <f aca="false">K209-H209*J209</f>
        <v>13</v>
      </c>
      <c r="M209" s="20" t="s">
        <v>50</v>
      </c>
    </row>
    <row r="210" customFormat="false" ht="15" hidden="false" customHeight="false" outlineLevel="0" collapsed="false">
      <c r="A210" s="20" t="s">
        <v>1400</v>
      </c>
      <c r="B210" s="23" t="n">
        <v>45764</v>
      </c>
      <c r="C210" s="20" t="n">
        <f aca="false">MONTH(B210)</f>
        <v>4</v>
      </c>
      <c r="D210" s="20" t="s">
        <v>161</v>
      </c>
      <c r="E210" s="20" t="s">
        <v>47</v>
      </c>
      <c r="F210" s="20" t="s">
        <v>54</v>
      </c>
      <c r="G210" s="20" t="s">
        <v>76</v>
      </c>
      <c r="H210" s="20" t="n">
        <v>1</v>
      </c>
      <c r="I210" s="24" t="n">
        <v>32</v>
      </c>
      <c r="J210" s="24" t="n">
        <v>13</v>
      </c>
      <c r="K210" s="24" t="n">
        <f aca="false">H210*I210</f>
        <v>32</v>
      </c>
      <c r="L210" s="24" t="n">
        <f aca="false">K210-H210*J210</f>
        <v>19</v>
      </c>
      <c r="M210" s="20" t="s">
        <v>50</v>
      </c>
    </row>
    <row r="211" customFormat="false" ht="15" hidden="false" customHeight="false" outlineLevel="0" collapsed="false">
      <c r="A211" s="20" t="s">
        <v>1442</v>
      </c>
      <c r="B211" s="23" t="n">
        <v>45764</v>
      </c>
      <c r="C211" s="20" t="n">
        <f aca="false">MONTH(B211)</f>
        <v>4</v>
      </c>
      <c r="D211" s="20" t="s">
        <v>1091</v>
      </c>
      <c r="E211" s="20" t="s">
        <v>47</v>
      </c>
      <c r="F211" s="20" t="s">
        <v>110</v>
      </c>
      <c r="G211" s="20" t="s">
        <v>111</v>
      </c>
      <c r="H211" s="20" t="n">
        <v>3</v>
      </c>
      <c r="I211" s="24" t="n">
        <v>16</v>
      </c>
      <c r="J211" s="24" t="n">
        <v>5</v>
      </c>
      <c r="K211" s="24" t="n">
        <f aca="false">H211*I211</f>
        <v>48</v>
      </c>
      <c r="L211" s="24" t="n">
        <f aca="false">K211-H211*J211</f>
        <v>33</v>
      </c>
      <c r="M211" s="20" t="s">
        <v>50</v>
      </c>
    </row>
    <row r="212" customFormat="false" ht="15" hidden="false" customHeight="false" outlineLevel="0" collapsed="false">
      <c r="A212" s="20" t="s">
        <v>1218</v>
      </c>
      <c r="B212" s="23" t="n">
        <v>45764</v>
      </c>
      <c r="C212" s="20" t="n">
        <f aca="false">MONTH(B212)</f>
        <v>4</v>
      </c>
      <c r="D212" s="20" t="s">
        <v>323</v>
      </c>
      <c r="E212" s="20" t="s">
        <v>109</v>
      </c>
      <c r="F212" s="20" t="s">
        <v>92</v>
      </c>
      <c r="G212" s="20" t="s">
        <v>93</v>
      </c>
      <c r="H212" s="20" t="n">
        <v>2</v>
      </c>
      <c r="I212" s="24" t="n">
        <v>15</v>
      </c>
      <c r="J212" s="24" t="n">
        <v>5</v>
      </c>
      <c r="K212" s="24" t="n">
        <f aca="false">H212*I212</f>
        <v>30</v>
      </c>
      <c r="L212" s="24" t="n">
        <f aca="false">K212-H212*J212</f>
        <v>20</v>
      </c>
      <c r="M212" s="20" t="s">
        <v>50</v>
      </c>
    </row>
    <row r="213" customFormat="false" ht="15" hidden="false" customHeight="false" outlineLevel="0" collapsed="false">
      <c r="A213" s="20" t="s">
        <v>664</v>
      </c>
      <c r="B213" s="23" t="n">
        <v>45765</v>
      </c>
      <c r="C213" s="20" t="n">
        <f aca="false">MONTH(B213)</f>
        <v>4</v>
      </c>
      <c r="D213" s="20" t="s">
        <v>483</v>
      </c>
      <c r="E213" s="20" t="s">
        <v>70</v>
      </c>
      <c r="F213" s="20" t="s">
        <v>54</v>
      </c>
      <c r="G213" s="20" t="s">
        <v>76</v>
      </c>
      <c r="H213" s="20" t="n">
        <v>1</v>
      </c>
      <c r="I213" s="24" t="n">
        <v>32</v>
      </c>
      <c r="J213" s="24" t="n">
        <v>13</v>
      </c>
      <c r="K213" s="24" t="n">
        <f aca="false">H213*I213</f>
        <v>32</v>
      </c>
      <c r="L213" s="24" t="n">
        <f aca="false">K213-H213*J213</f>
        <v>19</v>
      </c>
      <c r="M213" s="20" t="s">
        <v>50</v>
      </c>
    </row>
    <row r="214" customFormat="false" ht="15" hidden="false" customHeight="false" outlineLevel="0" collapsed="false">
      <c r="A214" s="20" t="s">
        <v>1456</v>
      </c>
      <c r="B214" s="23" t="n">
        <v>45765</v>
      </c>
      <c r="C214" s="20" t="n">
        <f aca="false">MONTH(B214)</f>
        <v>4</v>
      </c>
      <c r="D214" s="20" t="s">
        <v>161</v>
      </c>
      <c r="E214" s="20" t="s">
        <v>47</v>
      </c>
      <c r="F214" s="20" t="s">
        <v>81</v>
      </c>
      <c r="G214" s="20" t="s">
        <v>67</v>
      </c>
      <c r="H214" s="20" t="n">
        <v>4</v>
      </c>
      <c r="I214" s="24" t="n">
        <v>45</v>
      </c>
      <c r="J214" s="24" t="n">
        <v>17</v>
      </c>
      <c r="K214" s="24" t="n">
        <f aca="false">H214*I214</f>
        <v>180</v>
      </c>
      <c r="L214" s="24" t="n">
        <f aca="false">K214-H214*J214</f>
        <v>112</v>
      </c>
      <c r="M214" s="20" t="s">
        <v>50</v>
      </c>
    </row>
    <row r="215" customFormat="false" ht="15" hidden="false" customHeight="false" outlineLevel="0" collapsed="false">
      <c r="A215" s="20" t="s">
        <v>571</v>
      </c>
      <c r="B215" s="23" t="n">
        <v>45765</v>
      </c>
      <c r="C215" s="20" t="n">
        <f aca="false">MONTH(B215)</f>
        <v>4</v>
      </c>
      <c r="D215" s="20" t="s">
        <v>573</v>
      </c>
      <c r="E215" s="20" t="s">
        <v>70</v>
      </c>
      <c r="F215" s="20" t="s">
        <v>54</v>
      </c>
      <c r="G215" s="20" t="s">
        <v>55</v>
      </c>
      <c r="H215" s="20" t="n">
        <v>1</v>
      </c>
      <c r="I215" s="24" t="n">
        <v>38</v>
      </c>
      <c r="J215" s="24" t="n">
        <v>16</v>
      </c>
      <c r="K215" s="24" t="n">
        <f aca="false">H215*I215</f>
        <v>38</v>
      </c>
      <c r="L215" s="24" t="n">
        <f aca="false">K215-H215*J215</f>
        <v>22</v>
      </c>
      <c r="M215" s="20" t="s">
        <v>50</v>
      </c>
    </row>
    <row r="216" customFormat="false" ht="15" hidden="false" customHeight="false" outlineLevel="0" collapsed="false">
      <c r="A216" s="20" t="s">
        <v>488</v>
      </c>
      <c r="B216" s="23" t="n">
        <v>45765</v>
      </c>
      <c r="C216" s="20" t="n">
        <f aca="false">MONTH(B216)</f>
        <v>4</v>
      </c>
      <c r="D216" s="20" t="s">
        <v>424</v>
      </c>
      <c r="E216" s="20" t="s">
        <v>70</v>
      </c>
      <c r="F216" s="20" t="s">
        <v>54</v>
      </c>
      <c r="G216" s="20" t="s">
        <v>55</v>
      </c>
      <c r="H216" s="20" t="n">
        <v>1</v>
      </c>
      <c r="I216" s="24" t="n">
        <v>38</v>
      </c>
      <c r="J216" s="24" t="n">
        <v>16</v>
      </c>
      <c r="K216" s="24" t="n">
        <f aca="false">H216*I216</f>
        <v>38</v>
      </c>
      <c r="L216" s="24" t="n">
        <f aca="false">K216-H216*J216</f>
        <v>22</v>
      </c>
      <c r="M216" s="20" t="s">
        <v>50</v>
      </c>
    </row>
    <row r="217" customFormat="false" ht="15" hidden="false" customHeight="false" outlineLevel="0" collapsed="false">
      <c r="A217" s="20" t="s">
        <v>240</v>
      </c>
      <c r="B217" s="23" t="n">
        <v>45765</v>
      </c>
      <c r="C217" s="20" t="n">
        <f aca="false">MONTH(B217)</f>
        <v>4</v>
      </c>
      <c r="D217" s="20" t="s">
        <v>241</v>
      </c>
      <c r="E217" s="20" t="s">
        <v>59</v>
      </c>
      <c r="F217" s="20" t="s">
        <v>110</v>
      </c>
      <c r="G217" s="20" t="s">
        <v>236</v>
      </c>
      <c r="H217" s="20" t="n">
        <v>3</v>
      </c>
      <c r="I217" s="24" t="n">
        <v>30</v>
      </c>
      <c r="J217" s="24" t="n">
        <v>11</v>
      </c>
      <c r="K217" s="24" t="n">
        <f aca="false">H217*I217</f>
        <v>90</v>
      </c>
      <c r="L217" s="24" t="n">
        <f aca="false">K217-H217*J217</f>
        <v>57</v>
      </c>
      <c r="M217" s="20" t="s">
        <v>50</v>
      </c>
    </row>
    <row r="218" customFormat="false" ht="15" hidden="false" customHeight="false" outlineLevel="0" collapsed="false">
      <c r="A218" s="20" t="s">
        <v>1092</v>
      </c>
      <c r="B218" s="23" t="n">
        <v>45766</v>
      </c>
      <c r="C218" s="20" t="n">
        <f aca="false">MONTH(B218)</f>
        <v>4</v>
      </c>
      <c r="D218" s="20" t="s">
        <v>269</v>
      </c>
      <c r="E218" s="20" t="s">
        <v>59</v>
      </c>
      <c r="F218" s="20" t="s">
        <v>48</v>
      </c>
      <c r="G218" s="20" t="s">
        <v>49</v>
      </c>
      <c r="H218" s="20" t="n">
        <v>4</v>
      </c>
      <c r="I218" s="24" t="n">
        <v>18</v>
      </c>
      <c r="J218" s="24" t="n">
        <v>5</v>
      </c>
      <c r="K218" s="24" t="n">
        <f aca="false">H218*I218</f>
        <v>72</v>
      </c>
      <c r="L218" s="24" t="n">
        <f aca="false">K218-H218*J218</f>
        <v>52</v>
      </c>
      <c r="M218" s="20" t="s">
        <v>50</v>
      </c>
    </row>
    <row r="219" customFormat="false" ht="15" hidden="false" customHeight="false" outlineLevel="0" collapsed="false">
      <c r="A219" s="20" t="s">
        <v>960</v>
      </c>
      <c r="B219" s="23" t="n">
        <v>45767</v>
      </c>
      <c r="C219" s="20" t="n">
        <f aca="false">MONTH(B219)</f>
        <v>4</v>
      </c>
      <c r="D219" s="20" t="s">
        <v>457</v>
      </c>
      <c r="E219" s="20" t="s">
        <v>65</v>
      </c>
      <c r="F219" s="20" t="s">
        <v>110</v>
      </c>
      <c r="G219" s="20" t="s">
        <v>121</v>
      </c>
      <c r="H219" s="20" t="n">
        <v>1</v>
      </c>
      <c r="I219" s="24" t="n">
        <v>21</v>
      </c>
      <c r="J219" s="24" t="n">
        <v>7</v>
      </c>
      <c r="K219" s="24" t="n">
        <f aca="false">H219*I219</f>
        <v>21</v>
      </c>
      <c r="L219" s="24" t="n">
        <f aca="false">K219-H219*J219</f>
        <v>14</v>
      </c>
      <c r="M219" s="20" t="s">
        <v>50</v>
      </c>
    </row>
    <row r="220" customFormat="false" ht="15" hidden="false" customHeight="false" outlineLevel="0" collapsed="false">
      <c r="A220" s="20" t="s">
        <v>1011</v>
      </c>
      <c r="B220" s="23" t="n">
        <v>45767</v>
      </c>
      <c r="C220" s="20" t="n">
        <f aca="false">MONTH(B220)</f>
        <v>4</v>
      </c>
      <c r="D220" s="20" t="s">
        <v>380</v>
      </c>
      <c r="E220" s="20" t="s">
        <v>47</v>
      </c>
      <c r="F220" s="20" t="s">
        <v>54</v>
      </c>
      <c r="G220" s="20" t="s">
        <v>76</v>
      </c>
      <c r="H220" s="20" t="n">
        <v>2</v>
      </c>
      <c r="I220" s="24" t="n">
        <v>32</v>
      </c>
      <c r="J220" s="24" t="n">
        <v>13</v>
      </c>
      <c r="K220" s="24" t="n">
        <f aca="false">H220*I220</f>
        <v>64</v>
      </c>
      <c r="L220" s="24" t="n">
        <f aca="false">K220-H220*J220</f>
        <v>38</v>
      </c>
      <c r="M220" s="20" t="s">
        <v>50</v>
      </c>
    </row>
    <row r="221" customFormat="false" ht="15" hidden="false" customHeight="false" outlineLevel="0" collapsed="false">
      <c r="A221" s="20" t="s">
        <v>1266</v>
      </c>
      <c r="B221" s="23" t="n">
        <v>45768</v>
      </c>
      <c r="C221" s="20" t="n">
        <f aca="false">MONTH(B221)</f>
        <v>4</v>
      </c>
      <c r="D221" s="20" t="s">
        <v>326</v>
      </c>
      <c r="E221" s="20" t="s">
        <v>65</v>
      </c>
      <c r="F221" s="20" t="s">
        <v>54</v>
      </c>
      <c r="G221" s="20" t="s">
        <v>72</v>
      </c>
      <c r="H221" s="20" t="n">
        <v>1</v>
      </c>
      <c r="I221" s="24" t="n">
        <v>24</v>
      </c>
      <c r="J221" s="24" t="n">
        <v>9</v>
      </c>
      <c r="K221" s="24" t="n">
        <f aca="false">H221*I221</f>
        <v>24</v>
      </c>
      <c r="L221" s="24" t="n">
        <f aca="false">K221-H221*J221</f>
        <v>15</v>
      </c>
      <c r="M221" s="20" t="s">
        <v>50</v>
      </c>
    </row>
    <row r="222" customFormat="false" ht="15" hidden="false" customHeight="false" outlineLevel="0" collapsed="false">
      <c r="A222" s="20" t="s">
        <v>820</v>
      </c>
      <c r="B222" s="23" t="n">
        <v>45768</v>
      </c>
      <c r="C222" s="20" t="n">
        <f aca="false">MONTH(B222)</f>
        <v>4</v>
      </c>
      <c r="D222" s="20" t="s">
        <v>415</v>
      </c>
      <c r="E222" s="20" t="s">
        <v>70</v>
      </c>
      <c r="F222" s="20" t="s">
        <v>110</v>
      </c>
      <c r="G222" s="20" t="s">
        <v>121</v>
      </c>
      <c r="H222" s="20" t="n">
        <v>1</v>
      </c>
      <c r="I222" s="24" t="n">
        <v>21</v>
      </c>
      <c r="J222" s="24" t="n">
        <v>7</v>
      </c>
      <c r="K222" s="24" t="n">
        <f aca="false">H222*I222</f>
        <v>21</v>
      </c>
      <c r="L222" s="24" t="n">
        <f aca="false">K222-H222*J222</f>
        <v>14</v>
      </c>
      <c r="M222" s="20" t="s">
        <v>50</v>
      </c>
    </row>
    <row r="223" customFormat="false" ht="15" hidden="false" customHeight="false" outlineLevel="0" collapsed="false">
      <c r="A223" s="20" t="s">
        <v>708</v>
      </c>
      <c r="B223" s="23" t="n">
        <v>45768</v>
      </c>
      <c r="C223" s="20" t="n">
        <f aca="false">MONTH(B223)</f>
        <v>4</v>
      </c>
      <c r="D223" s="20" t="s">
        <v>210</v>
      </c>
      <c r="E223" s="20" t="s">
        <v>47</v>
      </c>
      <c r="F223" s="20" t="s">
        <v>81</v>
      </c>
      <c r="G223" s="20" t="s">
        <v>61</v>
      </c>
      <c r="H223" s="20" t="n">
        <v>1</v>
      </c>
      <c r="I223" s="24" t="n">
        <v>35</v>
      </c>
      <c r="J223" s="24" t="n">
        <v>12</v>
      </c>
      <c r="K223" s="24" t="n">
        <f aca="false">H223*I223</f>
        <v>35</v>
      </c>
      <c r="L223" s="24" t="n">
        <f aca="false">K223-H223*J223</f>
        <v>23</v>
      </c>
      <c r="M223" s="20" t="s">
        <v>50</v>
      </c>
    </row>
    <row r="224" customFormat="false" ht="15" hidden="false" customHeight="false" outlineLevel="0" collapsed="false">
      <c r="A224" s="20" t="s">
        <v>1624</v>
      </c>
      <c r="B224" s="23" t="n">
        <v>45768</v>
      </c>
      <c r="C224" s="20" t="n">
        <f aca="false">MONTH(B224)</f>
        <v>4</v>
      </c>
      <c r="D224" s="20" t="s">
        <v>483</v>
      </c>
      <c r="E224" s="20" t="s">
        <v>59</v>
      </c>
      <c r="F224" s="20" t="s">
        <v>92</v>
      </c>
      <c r="G224" s="20" t="s">
        <v>196</v>
      </c>
      <c r="H224" s="20" t="n">
        <v>1</v>
      </c>
      <c r="I224" s="24" t="n">
        <v>89</v>
      </c>
      <c r="J224" s="24" t="n">
        <v>41</v>
      </c>
      <c r="K224" s="24" t="n">
        <f aca="false">H224*I224</f>
        <v>89</v>
      </c>
      <c r="L224" s="24" t="n">
        <f aca="false">K224-H224*J224</f>
        <v>48</v>
      </c>
      <c r="M224" s="20" t="s">
        <v>50</v>
      </c>
    </row>
    <row r="225" customFormat="false" ht="15" hidden="false" customHeight="false" outlineLevel="0" collapsed="false">
      <c r="A225" s="20" t="s">
        <v>897</v>
      </c>
      <c r="B225" s="23" t="n">
        <v>45769</v>
      </c>
      <c r="C225" s="20" t="n">
        <f aca="false">MONTH(B225)</f>
        <v>4</v>
      </c>
      <c r="D225" s="20" t="s">
        <v>323</v>
      </c>
      <c r="E225" s="20" t="s">
        <v>65</v>
      </c>
      <c r="F225" s="20" t="s">
        <v>54</v>
      </c>
      <c r="G225" s="20" t="s">
        <v>76</v>
      </c>
      <c r="H225" s="20" t="n">
        <v>1</v>
      </c>
      <c r="I225" s="24" t="n">
        <v>32</v>
      </c>
      <c r="J225" s="24" t="n">
        <v>13</v>
      </c>
      <c r="K225" s="24" t="n">
        <f aca="false">H225*I225</f>
        <v>32</v>
      </c>
      <c r="L225" s="24" t="n">
        <f aca="false">K225-H225*J225</f>
        <v>19</v>
      </c>
      <c r="M225" s="20" t="s">
        <v>112</v>
      </c>
    </row>
    <row r="226" customFormat="false" ht="15" hidden="false" customHeight="false" outlineLevel="0" collapsed="false">
      <c r="A226" s="20" t="s">
        <v>1083</v>
      </c>
      <c r="B226" s="23" t="n">
        <v>45770</v>
      </c>
      <c r="C226" s="20" t="n">
        <f aca="false">MONTH(B226)</f>
        <v>4</v>
      </c>
      <c r="D226" s="20" t="s">
        <v>300</v>
      </c>
      <c r="E226" s="20" t="s">
        <v>47</v>
      </c>
      <c r="F226" s="20" t="s">
        <v>54</v>
      </c>
      <c r="G226" s="20" t="s">
        <v>55</v>
      </c>
      <c r="H226" s="20" t="n">
        <v>1</v>
      </c>
      <c r="I226" s="24" t="n">
        <v>38</v>
      </c>
      <c r="J226" s="24" t="n">
        <v>16</v>
      </c>
      <c r="K226" s="24" t="n">
        <f aca="false">H226*I226</f>
        <v>38</v>
      </c>
      <c r="L226" s="24" t="n">
        <f aca="false">K226-H226*J226</f>
        <v>22</v>
      </c>
      <c r="M226" s="20" t="s">
        <v>50</v>
      </c>
    </row>
    <row r="227" customFormat="false" ht="15" hidden="false" customHeight="false" outlineLevel="0" collapsed="false">
      <c r="A227" s="20" t="s">
        <v>1590</v>
      </c>
      <c r="B227" s="23" t="n">
        <v>45770</v>
      </c>
      <c r="C227" s="20" t="n">
        <f aca="false">MONTH(B227)</f>
        <v>4</v>
      </c>
      <c r="D227" s="20" t="s">
        <v>1378</v>
      </c>
      <c r="E227" s="20" t="s">
        <v>47</v>
      </c>
      <c r="F227" s="20" t="s">
        <v>48</v>
      </c>
      <c r="G227" s="20" t="s">
        <v>144</v>
      </c>
      <c r="H227" s="20" t="n">
        <v>1</v>
      </c>
      <c r="I227" s="24" t="n">
        <v>54</v>
      </c>
      <c r="J227" s="24" t="n">
        <v>24</v>
      </c>
      <c r="K227" s="24" t="n">
        <f aca="false">H227*I227</f>
        <v>54</v>
      </c>
      <c r="L227" s="24" t="n">
        <f aca="false">K227-H227*J227</f>
        <v>30</v>
      </c>
      <c r="M227" s="20" t="s">
        <v>112</v>
      </c>
    </row>
    <row r="228" customFormat="false" ht="15" hidden="false" customHeight="false" outlineLevel="0" collapsed="false">
      <c r="A228" s="20" t="s">
        <v>213</v>
      </c>
      <c r="B228" s="23" t="n">
        <v>45770</v>
      </c>
      <c r="C228" s="20" t="n">
        <f aca="false">MONTH(B228)</f>
        <v>4</v>
      </c>
      <c r="D228" s="20" t="s">
        <v>214</v>
      </c>
      <c r="E228" s="20" t="s">
        <v>59</v>
      </c>
      <c r="F228" s="20" t="s">
        <v>54</v>
      </c>
      <c r="G228" s="20" t="s">
        <v>76</v>
      </c>
      <c r="H228" s="20" t="n">
        <v>1</v>
      </c>
      <c r="I228" s="24" t="n">
        <v>32</v>
      </c>
      <c r="J228" s="24" t="n">
        <v>13</v>
      </c>
      <c r="K228" s="24" t="n">
        <f aca="false">H228*I228</f>
        <v>32</v>
      </c>
      <c r="L228" s="24" t="n">
        <f aca="false">K228-H228*J228</f>
        <v>19</v>
      </c>
      <c r="M228" s="20" t="s">
        <v>50</v>
      </c>
    </row>
    <row r="229" customFormat="false" ht="15" hidden="false" customHeight="false" outlineLevel="0" collapsed="false">
      <c r="A229" s="20" t="s">
        <v>1689</v>
      </c>
      <c r="B229" s="23" t="n">
        <v>45771</v>
      </c>
      <c r="C229" s="20" t="n">
        <f aca="false">MONTH(B229)</f>
        <v>4</v>
      </c>
      <c r="D229" s="20" t="s">
        <v>1010</v>
      </c>
      <c r="E229" s="20" t="s">
        <v>47</v>
      </c>
      <c r="F229" s="20" t="s">
        <v>81</v>
      </c>
      <c r="G229" s="20" t="s">
        <v>67</v>
      </c>
      <c r="H229" s="20" t="n">
        <v>1</v>
      </c>
      <c r="I229" s="24" t="n">
        <v>45</v>
      </c>
      <c r="J229" s="24" t="n">
        <v>17</v>
      </c>
      <c r="K229" s="24" t="n">
        <f aca="false">H229*I229</f>
        <v>45</v>
      </c>
      <c r="L229" s="24" t="n">
        <f aca="false">K229-H229*J229</f>
        <v>28</v>
      </c>
      <c r="M229" s="20" t="s">
        <v>50</v>
      </c>
    </row>
    <row r="230" customFormat="false" ht="15" hidden="false" customHeight="false" outlineLevel="0" collapsed="false">
      <c r="A230" s="20" t="s">
        <v>1307</v>
      </c>
      <c r="B230" s="23" t="n">
        <v>45771</v>
      </c>
      <c r="C230" s="20" t="n">
        <f aca="false">MONTH(B230)</f>
        <v>4</v>
      </c>
      <c r="D230" s="20" t="s">
        <v>183</v>
      </c>
      <c r="E230" s="20" t="s">
        <v>70</v>
      </c>
      <c r="F230" s="20" t="s">
        <v>92</v>
      </c>
      <c r="G230" s="20" t="s">
        <v>105</v>
      </c>
      <c r="H230" s="20" t="n">
        <v>4</v>
      </c>
      <c r="I230" s="24" t="n">
        <v>49</v>
      </c>
      <c r="J230" s="24" t="n">
        <v>22</v>
      </c>
      <c r="K230" s="24" t="n">
        <f aca="false">H230*I230</f>
        <v>196</v>
      </c>
      <c r="L230" s="24" t="n">
        <f aca="false">K230-H230*J230</f>
        <v>108</v>
      </c>
      <c r="M230" s="20" t="s">
        <v>50</v>
      </c>
    </row>
    <row r="231" customFormat="false" ht="15" hidden="false" customHeight="false" outlineLevel="0" collapsed="false">
      <c r="A231" s="20" t="s">
        <v>1500</v>
      </c>
      <c r="B231" s="23" t="n">
        <v>45771</v>
      </c>
      <c r="C231" s="20" t="n">
        <f aca="false">MONTH(B231)</f>
        <v>4</v>
      </c>
      <c r="D231" s="20" t="s">
        <v>502</v>
      </c>
      <c r="E231" s="20" t="s">
        <v>65</v>
      </c>
      <c r="F231" s="20" t="s">
        <v>81</v>
      </c>
      <c r="G231" s="20" t="s">
        <v>82</v>
      </c>
      <c r="H231" s="20" t="n">
        <v>1</v>
      </c>
      <c r="I231" s="24" t="n">
        <v>22</v>
      </c>
      <c r="J231" s="24" t="n">
        <v>8</v>
      </c>
      <c r="K231" s="24" t="n">
        <f aca="false">H231*I231</f>
        <v>22</v>
      </c>
      <c r="L231" s="24" t="n">
        <f aca="false">K231-H231*J231</f>
        <v>14</v>
      </c>
      <c r="M231" s="20" t="s">
        <v>50</v>
      </c>
    </row>
    <row r="232" customFormat="false" ht="15" hidden="false" customHeight="false" outlineLevel="0" collapsed="false">
      <c r="A232" s="20" t="s">
        <v>1548</v>
      </c>
      <c r="B232" s="23" t="n">
        <v>45773</v>
      </c>
      <c r="C232" s="20" t="n">
        <f aca="false">MONTH(B232)</f>
        <v>4</v>
      </c>
      <c r="D232" s="20" t="s">
        <v>150</v>
      </c>
      <c r="E232" s="20" t="s">
        <v>47</v>
      </c>
      <c r="F232" s="20" t="s">
        <v>54</v>
      </c>
      <c r="G232" s="20" t="s">
        <v>76</v>
      </c>
      <c r="H232" s="20" t="n">
        <v>1</v>
      </c>
      <c r="I232" s="24" t="n">
        <v>32</v>
      </c>
      <c r="J232" s="24" t="n">
        <v>13</v>
      </c>
      <c r="K232" s="24" t="n">
        <f aca="false">H232*I232</f>
        <v>32</v>
      </c>
      <c r="L232" s="24" t="n">
        <f aca="false">K232-H232*J232</f>
        <v>19</v>
      </c>
      <c r="M232" s="20" t="s">
        <v>50</v>
      </c>
    </row>
    <row r="233" customFormat="false" ht="15" hidden="false" customHeight="false" outlineLevel="0" collapsed="false">
      <c r="A233" s="20" t="s">
        <v>1559</v>
      </c>
      <c r="B233" s="23" t="n">
        <v>45773</v>
      </c>
      <c r="C233" s="20" t="n">
        <f aca="false">MONTH(B233)</f>
        <v>4</v>
      </c>
      <c r="D233" s="20" t="s">
        <v>161</v>
      </c>
      <c r="E233" s="20" t="s">
        <v>65</v>
      </c>
      <c r="F233" s="20" t="s">
        <v>81</v>
      </c>
      <c r="G233" s="20" t="s">
        <v>82</v>
      </c>
      <c r="H233" s="20" t="n">
        <v>1</v>
      </c>
      <c r="I233" s="24" t="n">
        <v>22</v>
      </c>
      <c r="J233" s="24" t="n">
        <v>8</v>
      </c>
      <c r="K233" s="24" t="n">
        <f aca="false">H233*I233</f>
        <v>22</v>
      </c>
      <c r="L233" s="24" t="n">
        <f aca="false">K233-H233*J233</f>
        <v>14</v>
      </c>
      <c r="M233" s="20" t="s">
        <v>50</v>
      </c>
    </row>
    <row r="234" customFormat="false" ht="15" hidden="false" customHeight="false" outlineLevel="0" collapsed="false">
      <c r="A234" s="20" t="s">
        <v>1557</v>
      </c>
      <c r="B234" s="23" t="n">
        <v>45774</v>
      </c>
      <c r="C234" s="20" t="n">
        <f aca="false">MONTH(B234)</f>
        <v>4</v>
      </c>
      <c r="D234" s="20" t="s">
        <v>375</v>
      </c>
      <c r="E234" s="20" t="s">
        <v>47</v>
      </c>
      <c r="F234" s="20" t="s">
        <v>110</v>
      </c>
      <c r="G234" s="20" t="s">
        <v>236</v>
      </c>
      <c r="H234" s="20" t="n">
        <v>2</v>
      </c>
      <c r="I234" s="24" t="n">
        <v>30</v>
      </c>
      <c r="J234" s="24" t="n">
        <v>11</v>
      </c>
      <c r="K234" s="24" t="n">
        <f aca="false">H234*I234</f>
        <v>60</v>
      </c>
      <c r="L234" s="24" t="n">
        <f aca="false">K234-H234*J234</f>
        <v>38</v>
      </c>
      <c r="M234" s="20" t="s">
        <v>50</v>
      </c>
    </row>
    <row r="235" customFormat="false" ht="15" hidden="false" customHeight="false" outlineLevel="0" collapsed="false">
      <c r="A235" s="20" t="s">
        <v>298</v>
      </c>
      <c r="B235" s="23" t="n">
        <v>45774</v>
      </c>
      <c r="C235" s="20" t="n">
        <f aca="false">MONTH(B235)</f>
        <v>4</v>
      </c>
      <c r="D235" s="20" t="s">
        <v>300</v>
      </c>
      <c r="E235" s="20" t="s">
        <v>70</v>
      </c>
      <c r="F235" s="20" t="s">
        <v>81</v>
      </c>
      <c r="G235" s="20" t="s">
        <v>67</v>
      </c>
      <c r="H235" s="20" t="n">
        <v>1</v>
      </c>
      <c r="I235" s="24" t="n">
        <v>45</v>
      </c>
      <c r="J235" s="24" t="n">
        <v>17</v>
      </c>
      <c r="K235" s="24" t="n">
        <f aca="false">H235*I235</f>
        <v>45</v>
      </c>
      <c r="L235" s="24" t="n">
        <f aca="false">K235-H235*J235</f>
        <v>28</v>
      </c>
      <c r="M235" s="20" t="s">
        <v>50</v>
      </c>
    </row>
    <row r="236" customFormat="false" ht="15" hidden="false" customHeight="false" outlineLevel="0" collapsed="false">
      <c r="A236" s="20" t="s">
        <v>172</v>
      </c>
      <c r="B236" s="23" t="n">
        <v>45774</v>
      </c>
      <c r="C236" s="20" t="n">
        <f aca="false">MONTH(B236)</f>
        <v>4</v>
      </c>
      <c r="D236" s="20" t="s">
        <v>174</v>
      </c>
      <c r="E236" s="20" t="s">
        <v>70</v>
      </c>
      <c r="F236" s="20" t="s">
        <v>54</v>
      </c>
      <c r="G236" s="20" t="s">
        <v>72</v>
      </c>
      <c r="H236" s="20" t="n">
        <v>1</v>
      </c>
      <c r="I236" s="24" t="n">
        <v>24</v>
      </c>
      <c r="J236" s="24" t="n">
        <v>9</v>
      </c>
      <c r="K236" s="24" t="n">
        <f aca="false">H236*I236</f>
        <v>24</v>
      </c>
      <c r="L236" s="24" t="n">
        <f aca="false">K236-H236*J236</f>
        <v>15</v>
      </c>
      <c r="M236" s="20" t="s">
        <v>50</v>
      </c>
    </row>
    <row r="237" customFormat="false" ht="15" hidden="false" customHeight="false" outlineLevel="0" collapsed="false">
      <c r="A237" s="20" t="s">
        <v>197</v>
      </c>
      <c r="B237" s="23" t="n">
        <v>45774</v>
      </c>
      <c r="C237" s="20" t="n">
        <f aca="false">MONTH(B237)</f>
        <v>4</v>
      </c>
      <c r="D237" s="20" t="s">
        <v>147</v>
      </c>
      <c r="E237" s="20" t="s">
        <v>70</v>
      </c>
      <c r="F237" s="20" t="s">
        <v>81</v>
      </c>
      <c r="G237" s="20" t="s">
        <v>67</v>
      </c>
      <c r="H237" s="20" t="n">
        <v>1</v>
      </c>
      <c r="I237" s="24" t="n">
        <v>45</v>
      </c>
      <c r="J237" s="24" t="n">
        <v>17</v>
      </c>
      <c r="K237" s="24" t="n">
        <f aca="false">H237*I237</f>
        <v>45</v>
      </c>
      <c r="L237" s="24" t="n">
        <f aca="false">K237-H237*J237</f>
        <v>28</v>
      </c>
      <c r="M237" s="20" t="s">
        <v>50</v>
      </c>
    </row>
    <row r="238" customFormat="false" ht="15" hidden="false" customHeight="false" outlineLevel="0" collapsed="false">
      <c r="A238" s="20" t="s">
        <v>970</v>
      </c>
      <c r="B238" s="23" t="n">
        <v>45775</v>
      </c>
      <c r="C238" s="20" t="n">
        <f aca="false">MONTH(B238)</f>
        <v>4</v>
      </c>
      <c r="D238" s="20" t="s">
        <v>494</v>
      </c>
      <c r="E238" s="20" t="s">
        <v>70</v>
      </c>
      <c r="F238" s="20" t="s">
        <v>81</v>
      </c>
      <c r="G238" s="20" t="s">
        <v>67</v>
      </c>
      <c r="H238" s="20" t="n">
        <v>2</v>
      </c>
      <c r="I238" s="24" t="n">
        <v>45</v>
      </c>
      <c r="J238" s="24" t="n">
        <v>17</v>
      </c>
      <c r="K238" s="24" t="n">
        <f aca="false">H238*I238</f>
        <v>90</v>
      </c>
      <c r="L238" s="24" t="n">
        <f aca="false">K238-H238*J238</f>
        <v>56</v>
      </c>
      <c r="M238" s="20" t="s">
        <v>50</v>
      </c>
    </row>
    <row r="239" customFormat="false" ht="15" hidden="false" customHeight="false" outlineLevel="0" collapsed="false">
      <c r="A239" s="20" t="s">
        <v>1558</v>
      </c>
      <c r="B239" s="23" t="n">
        <v>45775</v>
      </c>
      <c r="C239" s="20" t="n">
        <f aca="false">MONTH(B239)</f>
        <v>4</v>
      </c>
      <c r="D239" s="20" t="s">
        <v>522</v>
      </c>
      <c r="E239" s="20" t="s">
        <v>47</v>
      </c>
      <c r="F239" s="20" t="s">
        <v>54</v>
      </c>
      <c r="G239" s="20" t="s">
        <v>76</v>
      </c>
      <c r="H239" s="20" t="n">
        <v>1</v>
      </c>
      <c r="I239" s="24" t="n">
        <v>32</v>
      </c>
      <c r="J239" s="24" t="n">
        <v>13</v>
      </c>
      <c r="K239" s="24" t="n">
        <f aca="false">H239*I239</f>
        <v>32</v>
      </c>
      <c r="L239" s="24" t="n">
        <f aca="false">K239-H239*J239</f>
        <v>19</v>
      </c>
      <c r="M239" s="20" t="s">
        <v>50</v>
      </c>
    </row>
    <row r="240" customFormat="false" ht="15" hidden="false" customHeight="false" outlineLevel="0" collapsed="false">
      <c r="A240" s="20" t="s">
        <v>1333</v>
      </c>
      <c r="B240" s="23" t="n">
        <v>45778</v>
      </c>
      <c r="C240" s="20" t="n">
        <f aca="false">MONTH(B240)</f>
        <v>5</v>
      </c>
      <c r="D240" s="20" t="s">
        <v>375</v>
      </c>
      <c r="E240" s="20" t="s">
        <v>59</v>
      </c>
      <c r="F240" s="20" t="s">
        <v>92</v>
      </c>
      <c r="G240" s="20" t="s">
        <v>105</v>
      </c>
      <c r="H240" s="20" t="n">
        <v>2</v>
      </c>
      <c r="I240" s="24" t="n">
        <v>49</v>
      </c>
      <c r="J240" s="24" t="n">
        <v>22</v>
      </c>
      <c r="K240" s="24" t="n">
        <f aca="false">H240*I240</f>
        <v>98</v>
      </c>
      <c r="L240" s="24" t="n">
        <f aca="false">K240-H240*J240</f>
        <v>54</v>
      </c>
      <c r="M240" s="20" t="s">
        <v>50</v>
      </c>
    </row>
    <row r="241" customFormat="false" ht="15" hidden="false" customHeight="false" outlineLevel="0" collapsed="false">
      <c r="A241" s="20" t="s">
        <v>955</v>
      </c>
      <c r="B241" s="23" t="n">
        <v>45778</v>
      </c>
      <c r="C241" s="20" t="n">
        <f aca="false">MONTH(B241)</f>
        <v>5</v>
      </c>
      <c r="D241" s="20" t="s">
        <v>934</v>
      </c>
      <c r="E241" s="20" t="s">
        <v>70</v>
      </c>
      <c r="F241" s="20" t="s">
        <v>48</v>
      </c>
      <c r="G241" s="20" t="s">
        <v>144</v>
      </c>
      <c r="H241" s="20" t="n">
        <v>1</v>
      </c>
      <c r="I241" s="24" t="n">
        <v>54</v>
      </c>
      <c r="J241" s="24" t="n">
        <v>24</v>
      </c>
      <c r="K241" s="24" t="n">
        <f aca="false">H241*I241</f>
        <v>54</v>
      </c>
      <c r="L241" s="24" t="n">
        <f aca="false">K241-H241*J241</f>
        <v>30</v>
      </c>
      <c r="M241" s="20" t="s">
        <v>50</v>
      </c>
    </row>
    <row r="242" customFormat="false" ht="15" hidden="false" customHeight="false" outlineLevel="0" collapsed="false">
      <c r="A242" s="20" t="s">
        <v>1479</v>
      </c>
      <c r="B242" s="23" t="n">
        <v>45778</v>
      </c>
      <c r="C242" s="20" t="n">
        <f aca="false">MONTH(B242)</f>
        <v>5</v>
      </c>
      <c r="D242" s="20" t="s">
        <v>104</v>
      </c>
      <c r="E242" s="20" t="s">
        <v>47</v>
      </c>
      <c r="F242" s="20" t="s">
        <v>92</v>
      </c>
      <c r="G242" s="20" t="s">
        <v>93</v>
      </c>
      <c r="H242" s="20" t="n">
        <v>1</v>
      </c>
      <c r="I242" s="24" t="n">
        <v>15</v>
      </c>
      <c r="J242" s="24" t="n">
        <v>5</v>
      </c>
      <c r="K242" s="24" t="n">
        <f aca="false">H242*I242</f>
        <v>15</v>
      </c>
      <c r="L242" s="24" t="n">
        <f aca="false">K242-H242*J242</f>
        <v>10</v>
      </c>
      <c r="M242" s="20" t="s">
        <v>50</v>
      </c>
    </row>
    <row r="243" customFormat="false" ht="15" hidden="false" customHeight="false" outlineLevel="0" collapsed="false">
      <c r="A243" s="20" t="s">
        <v>793</v>
      </c>
      <c r="B243" s="23" t="n">
        <v>45778</v>
      </c>
      <c r="C243" s="20" t="n">
        <f aca="false">MONTH(B243)</f>
        <v>5</v>
      </c>
      <c r="D243" s="20" t="s">
        <v>380</v>
      </c>
      <c r="E243" s="20" t="s">
        <v>47</v>
      </c>
      <c r="F243" s="20" t="s">
        <v>92</v>
      </c>
      <c r="G243" s="20" t="s">
        <v>105</v>
      </c>
      <c r="H243" s="20" t="n">
        <v>1</v>
      </c>
      <c r="I243" s="24" t="n">
        <v>49</v>
      </c>
      <c r="J243" s="24" t="n">
        <v>22</v>
      </c>
      <c r="K243" s="24" t="n">
        <f aca="false">H243*I243</f>
        <v>49</v>
      </c>
      <c r="L243" s="24" t="n">
        <f aca="false">K243-H243*J243</f>
        <v>27</v>
      </c>
      <c r="M243" s="20" t="s">
        <v>50</v>
      </c>
    </row>
    <row r="244" customFormat="false" ht="15" hidden="false" customHeight="false" outlineLevel="0" collapsed="false">
      <c r="A244" s="20" t="s">
        <v>1002</v>
      </c>
      <c r="B244" s="23" t="n">
        <v>45778</v>
      </c>
      <c r="C244" s="20" t="n">
        <f aca="false">MONTH(B244)</f>
        <v>5</v>
      </c>
      <c r="D244" s="20" t="s">
        <v>195</v>
      </c>
      <c r="E244" s="20" t="s">
        <v>47</v>
      </c>
      <c r="F244" s="20" t="s">
        <v>48</v>
      </c>
      <c r="G244" s="20" t="s">
        <v>116</v>
      </c>
      <c r="H244" s="20" t="n">
        <v>1</v>
      </c>
      <c r="I244" s="24" t="n">
        <v>28</v>
      </c>
      <c r="J244" s="24" t="n">
        <v>9</v>
      </c>
      <c r="K244" s="24" t="n">
        <f aca="false">H244*I244</f>
        <v>28</v>
      </c>
      <c r="L244" s="24" t="n">
        <f aca="false">K244-H244*J244</f>
        <v>19</v>
      </c>
      <c r="M244" s="20" t="s">
        <v>50</v>
      </c>
    </row>
    <row r="245" customFormat="false" ht="15" hidden="false" customHeight="false" outlineLevel="0" collapsed="false">
      <c r="A245" s="20" t="s">
        <v>190</v>
      </c>
      <c r="B245" s="23" t="n">
        <v>45778</v>
      </c>
      <c r="C245" s="20" t="n">
        <f aca="false">MONTH(B245)</f>
        <v>5</v>
      </c>
      <c r="D245" s="20" t="s">
        <v>192</v>
      </c>
      <c r="E245" s="20" t="s">
        <v>65</v>
      </c>
      <c r="F245" s="20" t="s">
        <v>81</v>
      </c>
      <c r="G245" s="20" t="s">
        <v>67</v>
      </c>
      <c r="H245" s="20" t="n">
        <v>2</v>
      </c>
      <c r="I245" s="24" t="n">
        <v>45</v>
      </c>
      <c r="J245" s="24" t="n">
        <v>17</v>
      </c>
      <c r="K245" s="24" t="n">
        <f aca="false">H245*I245</f>
        <v>90</v>
      </c>
      <c r="L245" s="24" t="n">
        <f aca="false">K245-H245*J245</f>
        <v>56</v>
      </c>
      <c r="M245" s="20" t="s">
        <v>50</v>
      </c>
    </row>
    <row r="246" customFormat="false" ht="15" hidden="false" customHeight="false" outlineLevel="0" collapsed="false">
      <c r="A246" s="20" t="s">
        <v>1502</v>
      </c>
      <c r="B246" s="23" t="n">
        <v>45779</v>
      </c>
      <c r="C246" s="20" t="n">
        <f aca="false">MONTH(B246)</f>
        <v>5</v>
      </c>
      <c r="D246" s="20" t="s">
        <v>843</v>
      </c>
      <c r="E246" s="20" t="s">
        <v>47</v>
      </c>
      <c r="F246" s="20" t="s">
        <v>48</v>
      </c>
      <c r="G246" s="20" t="s">
        <v>116</v>
      </c>
      <c r="H246" s="20" t="n">
        <v>1</v>
      </c>
      <c r="I246" s="24" t="n">
        <v>28</v>
      </c>
      <c r="J246" s="24" t="n">
        <v>9</v>
      </c>
      <c r="K246" s="24" t="n">
        <f aca="false">H246*I246</f>
        <v>28</v>
      </c>
      <c r="L246" s="24" t="n">
        <f aca="false">K246-H246*J246</f>
        <v>19</v>
      </c>
      <c r="M246" s="20" t="s">
        <v>50</v>
      </c>
    </row>
    <row r="247" customFormat="false" ht="15" hidden="false" customHeight="false" outlineLevel="0" collapsed="false">
      <c r="A247" s="20" t="s">
        <v>175</v>
      </c>
      <c r="B247" s="23" t="n">
        <v>45779</v>
      </c>
      <c r="C247" s="20" t="n">
        <f aca="false">MONTH(B247)</f>
        <v>5</v>
      </c>
      <c r="D247" s="20" t="s">
        <v>177</v>
      </c>
      <c r="E247" s="20" t="s">
        <v>47</v>
      </c>
      <c r="F247" s="20" t="s">
        <v>81</v>
      </c>
      <c r="G247" s="20" t="s">
        <v>67</v>
      </c>
      <c r="H247" s="20" t="n">
        <v>2</v>
      </c>
      <c r="I247" s="24" t="n">
        <v>45</v>
      </c>
      <c r="J247" s="24" t="n">
        <v>17</v>
      </c>
      <c r="K247" s="24" t="n">
        <f aca="false">H247*I247</f>
        <v>90</v>
      </c>
      <c r="L247" s="24" t="n">
        <f aca="false">K247-H247*J247</f>
        <v>56</v>
      </c>
      <c r="M247" s="20" t="s">
        <v>50</v>
      </c>
    </row>
    <row r="248" customFormat="false" ht="15" hidden="false" customHeight="false" outlineLevel="0" collapsed="false">
      <c r="A248" s="20" t="s">
        <v>534</v>
      </c>
      <c r="B248" s="23" t="n">
        <v>45779</v>
      </c>
      <c r="C248" s="20" t="n">
        <f aca="false">MONTH(B248)</f>
        <v>5</v>
      </c>
      <c r="D248" s="20" t="s">
        <v>535</v>
      </c>
      <c r="E248" s="20" t="s">
        <v>47</v>
      </c>
      <c r="F248" s="20" t="s">
        <v>48</v>
      </c>
      <c r="G248" s="20" t="s">
        <v>144</v>
      </c>
      <c r="H248" s="20" t="n">
        <v>1</v>
      </c>
      <c r="I248" s="24" t="n">
        <v>54</v>
      </c>
      <c r="J248" s="24" t="n">
        <v>24</v>
      </c>
      <c r="K248" s="24" t="n">
        <f aca="false">H248*I248</f>
        <v>54</v>
      </c>
      <c r="L248" s="24" t="n">
        <f aca="false">K248-H248*J248</f>
        <v>30</v>
      </c>
      <c r="M248" s="20" t="s">
        <v>50</v>
      </c>
    </row>
    <row r="249" customFormat="false" ht="15" hidden="false" customHeight="false" outlineLevel="0" collapsed="false">
      <c r="A249" s="20" t="s">
        <v>1355</v>
      </c>
      <c r="B249" s="23" t="n">
        <v>45780</v>
      </c>
      <c r="C249" s="20" t="n">
        <f aca="false">MONTH(B249)</f>
        <v>5</v>
      </c>
      <c r="D249" s="20" t="s">
        <v>1197</v>
      </c>
      <c r="E249" s="20" t="s">
        <v>47</v>
      </c>
      <c r="F249" s="20" t="s">
        <v>48</v>
      </c>
      <c r="G249" s="20" t="s">
        <v>144</v>
      </c>
      <c r="H249" s="20" t="n">
        <v>1</v>
      </c>
      <c r="I249" s="24" t="n">
        <v>54</v>
      </c>
      <c r="J249" s="24" t="n">
        <v>24</v>
      </c>
      <c r="K249" s="24" t="n">
        <f aca="false">H249*I249</f>
        <v>54</v>
      </c>
      <c r="L249" s="24" t="n">
        <f aca="false">K249-H249*J249</f>
        <v>30</v>
      </c>
      <c r="M249" s="20" t="s">
        <v>50</v>
      </c>
    </row>
    <row r="250" customFormat="false" ht="15" hidden="false" customHeight="false" outlineLevel="0" collapsed="false">
      <c r="A250" s="20" t="s">
        <v>448</v>
      </c>
      <c r="B250" s="23" t="n">
        <v>45780</v>
      </c>
      <c r="C250" s="20" t="n">
        <f aca="false">MONTH(B250)</f>
        <v>5</v>
      </c>
      <c r="D250" s="20" t="s">
        <v>80</v>
      </c>
      <c r="E250" s="20" t="s">
        <v>65</v>
      </c>
      <c r="F250" s="20" t="s">
        <v>54</v>
      </c>
      <c r="G250" s="20" t="s">
        <v>72</v>
      </c>
      <c r="H250" s="20" t="n">
        <v>1</v>
      </c>
      <c r="I250" s="24" t="n">
        <v>24</v>
      </c>
      <c r="J250" s="24" t="n">
        <v>9</v>
      </c>
      <c r="K250" s="24" t="n">
        <f aca="false">H250*I250</f>
        <v>24</v>
      </c>
      <c r="L250" s="24" t="n">
        <f aca="false">K250-H250*J250</f>
        <v>15</v>
      </c>
      <c r="M250" s="20" t="s">
        <v>50</v>
      </c>
    </row>
    <row r="251" customFormat="false" ht="15" hidden="false" customHeight="false" outlineLevel="0" collapsed="false">
      <c r="A251" s="20" t="s">
        <v>844</v>
      </c>
      <c r="B251" s="23" t="n">
        <v>45781</v>
      </c>
      <c r="C251" s="20" t="n">
        <f aca="false">MONTH(B251)</f>
        <v>5</v>
      </c>
      <c r="D251" s="20" t="s">
        <v>183</v>
      </c>
      <c r="E251" s="20" t="s">
        <v>47</v>
      </c>
      <c r="F251" s="20" t="s">
        <v>54</v>
      </c>
      <c r="G251" s="20" t="s">
        <v>76</v>
      </c>
      <c r="H251" s="20" t="n">
        <v>1</v>
      </c>
      <c r="I251" s="24" t="n">
        <v>32</v>
      </c>
      <c r="J251" s="24" t="n">
        <v>13</v>
      </c>
      <c r="K251" s="24" t="n">
        <f aca="false">H251*I251</f>
        <v>32</v>
      </c>
      <c r="L251" s="24" t="n">
        <f aca="false">K251-H251*J251</f>
        <v>19</v>
      </c>
      <c r="M251" s="20" t="s">
        <v>50</v>
      </c>
    </row>
    <row r="252" customFormat="false" ht="15" hidden="false" customHeight="false" outlineLevel="0" collapsed="false">
      <c r="A252" s="20" t="s">
        <v>235</v>
      </c>
      <c r="B252" s="23" t="n">
        <v>45781</v>
      </c>
      <c r="C252" s="20" t="n">
        <f aca="false">MONTH(B252)</f>
        <v>5</v>
      </c>
      <c r="D252" s="20" t="s">
        <v>210</v>
      </c>
      <c r="E252" s="20" t="s">
        <v>47</v>
      </c>
      <c r="F252" s="20" t="s">
        <v>110</v>
      </c>
      <c r="G252" s="20" t="s">
        <v>236</v>
      </c>
      <c r="H252" s="20" t="n">
        <v>2</v>
      </c>
      <c r="I252" s="24" t="n">
        <v>30</v>
      </c>
      <c r="J252" s="24" t="n">
        <v>11</v>
      </c>
      <c r="K252" s="24" t="n">
        <f aca="false">H252*I252</f>
        <v>60</v>
      </c>
      <c r="L252" s="24" t="n">
        <f aca="false">K252-H252*J252</f>
        <v>38</v>
      </c>
      <c r="M252" s="20" t="s">
        <v>50</v>
      </c>
    </row>
    <row r="253" customFormat="false" ht="15" hidden="false" customHeight="false" outlineLevel="0" collapsed="false">
      <c r="A253" s="20" t="s">
        <v>1216</v>
      </c>
      <c r="B253" s="23" t="n">
        <v>45782</v>
      </c>
      <c r="C253" s="20" t="n">
        <f aca="false">MONTH(B253)</f>
        <v>5</v>
      </c>
      <c r="D253" s="20" t="s">
        <v>415</v>
      </c>
      <c r="E253" s="20" t="s">
        <v>47</v>
      </c>
      <c r="F253" s="20" t="s">
        <v>92</v>
      </c>
      <c r="G253" s="20" t="s">
        <v>196</v>
      </c>
      <c r="H253" s="20" t="n">
        <v>3</v>
      </c>
      <c r="I253" s="24" t="n">
        <v>89</v>
      </c>
      <c r="J253" s="24" t="n">
        <v>41</v>
      </c>
      <c r="K253" s="24" t="n">
        <f aca="false">H253*I253</f>
        <v>267</v>
      </c>
      <c r="L253" s="24" t="n">
        <f aca="false">K253-H253*J253</f>
        <v>144</v>
      </c>
      <c r="M253" s="20" t="s">
        <v>50</v>
      </c>
    </row>
    <row r="254" customFormat="false" ht="15" hidden="false" customHeight="false" outlineLevel="0" collapsed="false">
      <c r="A254" s="20" t="s">
        <v>336</v>
      </c>
      <c r="B254" s="23" t="n">
        <v>45784</v>
      </c>
      <c r="C254" s="20" t="n">
        <f aca="false">MONTH(B254)</f>
        <v>5</v>
      </c>
      <c r="D254" s="20" t="s">
        <v>338</v>
      </c>
      <c r="E254" s="20" t="s">
        <v>59</v>
      </c>
      <c r="F254" s="20" t="s">
        <v>48</v>
      </c>
      <c r="G254" s="20" t="s">
        <v>144</v>
      </c>
      <c r="H254" s="20" t="n">
        <v>1</v>
      </c>
      <c r="I254" s="24" t="n">
        <v>54</v>
      </c>
      <c r="J254" s="24" t="n">
        <v>24</v>
      </c>
      <c r="K254" s="24" t="n">
        <f aca="false">H254*I254</f>
        <v>54</v>
      </c>
      <c r="L254" s="24" t="n">
        <f aca="false">K254-H254*J254</f>
        <v>30</v>
      </c>
      <c r="M254" s="20" t="s">
        <v>50</v>
      </c>
    </row>
    <row r="255" customFormat="false" ht="15" hidden="false" customHeight="false" outlineLevel="0" collapsed="false">
      <c r="A255" s="20" t="s">
        <v>490</v>
      </c>
      <c r="B255" s="23" t="n">
        <v>45784</v>
      </c>
      <c r="C255" s="20" t="n">
        <f aca="false">MONTH(B255)</f>
        <v>5</v>
      </c>
      <c r="D255" s="20" t="s">
        <v>224</v>
      </c>
      <c r="E255" s="20" t="s">
        <v>59</v>
      </c>
      <c r="F255" s="20" t="s">
        <v>48</v>
      </c>
      <c r="G255" s="20" t="s">
        <v>116</v>
      </c>
      <c r="H255" s="20" t="n">
        <v>1</v>
      </c>
      <c r="I255" s="24" t="n">
        <v>28</v>
      </c>
      <c r="J255" s="24" t="n">
        <v>9</v>
      </c>
      <c r="K255" s="24" t="n">
        <f aca="false">H255*I255</f>
        <v>28</v>
      </c>
      <c r="L255" s="24" t="n">
        <f aca="false">K255-H255*J255</f>
        <v>19</v>
      </c>
      <c r="M255" s="20" t="s">
        <v>50</v>
      </c>
    </row>
    <row r="256" customFormat="false" ht="15" hidden="false" customHeight="false" outlineLevel="0" collapsed="false">
      <c r="A256" s="20" t="s">
        <v>460</v>
      </c>
      <c r="B256" s="23" t="n">
        <v>45784</v>
      </c>
      <c r="C256" s="20" t="n">
        <f aca="false">MONTH(B256)</f>
        <v>5</v>
      </c>
      <c r="D256" s="20" t="s">
        <v>58</v>
      </c>
      <c r="E256" s="20" t="s">
        <v>47</v>
      </c>
      <c r="F256" s="20" t="s">
        <v>92</v>
      </c>
      <c r="G256" s="20" t="s">
        <v>93</v>
      </c>
      <c r="H256" s="20" t="n">
        <v>2</v>
      </c>
      <c r="I256" s="24" t="n">
        <v>15</v>
      </c>
      <c r="J256" s="24" t="n">
        <v>5</v>
      </c>
      <c r="K256" s="24" t="n">
        <f aca="false">H256*I256</f>
        <v>30</v>
      </c>
      <c r="L256" s="24" t="n">
        <f aca="false">K256-H256*J256</f>
        <v>20</v>
      </c>
      <c r="M256" s="20" t="s">
        <v>50</v>
      </c>
    </row>
    <row r="257" customFormat="false" ht="15" hidden="false" customHeight="false" outlineLevel="0" collapsed="false">
      <c r="A257" s="20" t="s">
        <v>1145</v>
      </c>
      <c r="B257" s="23" t="n">
        <v>45785</v>
      </c>
      <c r="C257" s="20" t="n">
        <f aca="false">MONTH(B257)</f>
        <v>5</v>
      </c>
      <c r="D257" s="20" t="s">
        <v>801</v>
      </c>
      <c r="E257" s="20" t="s">
        <v>70</v>
      </c>
      <c r="F257" s="20" t="s">
        <v>81</v>
      </c>
      <c r="G257" s="20" t="s">
        <v>61</v>
      </c>
      <c r="H257" s="20" t="n">
        <v>1</v>
      </c>
      <c r="I257" s="24" t="n">
        <v>35</v>
      </c>
      <c r="J257" s="24" t="n">
        <v>12</v>
      </c>
      <c r="K257" s="24" t="n">
        <f aca="false">H257*I257</f>
        <v>35</v>
      </c>
      <c r="L257" s="24" t="n">
        <f aca="false">K257-H257*J257</f>
        <v>23</v>
      </c>
      <c r="M257" s="20" t="s">
        <v>50</v>
      </c>
    </row>
    <row r="258" customFormat="false" ht="15" hidden="false" customHeight="false" outlineLevel="0" collapsed="false">
      <c r="A258" s="20" t="s">
        <v>324</v>
      </c>
      <c r="B258" s="23" t="n">
        <v>45785</v>
      </c>
      <c r="C258" s="20" t="n">
        <f aca="false">MONTH(B258)</f>
        <v>5</v>
      </c>
      <c r="D258" s="20" t="s">
        <v>326</v>
      </c>
      <c r="E258" s="20" t="s">
        <v>47</v>
      </c>
      <c r="F258" s="20" t="s">
        <v>92</v>
      </c>
      <c r="G258" s="20" t="s">
        <v>93</v>
      </c>
      <c r="H258" s="20" t="n">
        <v>1</v>
      </c>
      <c r="I258" s="24" t="n">
        <v>15</v>
      </c>
      <c r="J258" s="24" t="n">
        <v>5</v>
      </c>
      <c r="K258" s="24" t="n">
        <f aca="false">H258*I258</f>
        <v>15</v>
      </c>
      <c r="L258" s="24" t="n">
        <f aca="false">K258-H258*J258</f>
        <v>10</v>
      </c>
      <c r="M258" s="20" t="s">
        <v>50</v>
      </c>
    </row>
    <row r="259" customFormat="false" ht="15" hidden="false" customHeight="false" outlineLevel="0" collapsed="false">
      <c r="A259" s="20" t="s">
        <v>814</v>
      </c>
      <c r="B259" s="23" t="n">
        <v>45786</v>
      </c>
      <c r="C259" s="20" t="n">
        <f aca="false">MONTH(B259)</f>
        <v>5</v>
      </c>
      <c r="D259" s="20" t="s">
        <v>80</v>
      </c>
      <c r="E259" s="20" t="s">
        <v>70</v>
      </c>
      <c r="F259" s="20" t="s">
        <v>110</v>
      </c>
      <c r="G259" s="20" t="s">
        <v>236</v>
      </c>
      <c r="H259" s="20" t="n">
        <v>1</v>
      </c>
      <c r="I259" s="24" t="n">
        <v>30</v>
      </c>
      <c r="J259" s="24" t="n">
        <v>11</v>
      </c>
      <c r="K259" s="24" t="n">
        <f aca="false">H259*I259</f>
        <v>30</v>
      </c>
      <c r="L259" s="24" t="n">
        <f aca="false">K259-H259*J259</f>
        <v>19</v>
      </c>
      <c r="M259" s="20" t="s">
        <v>50</v>
      </c>
    </row>
    <row r="260" customFormat="false" ht="15" hidden="false" customHeight="false" outlineLevel="0" collapsed="false">
      <c r="A260" s="20" t="s">
        <v>1545</v>
      </c>
      <c r="B260" s="23" t="n">
        <v>45787</v>
      </c>
      <c r="C260" s="20" t="n">
        <f aca="false">MONTH(B260)</f>
        <v>5</v>
      </c>
      <c r="D260" s="20" t="s">
        <v>531</v>
      </c>
      <c r="E260" s="20" t="s">
        <v>47</v>
      </c>
      <c r="F260" s="20" t="s">
        <v>81</v>
      </c>
      <c r="G260" s="20" t="s">
        <v>61</v>
      </c>
      <c r="H260" s="20" t="n">
        <v>3</v>
      </c>
      <c r="I260" s="24" t="n">
        <v>35</v>
      </c>
      <c r="J260" s="24" t="n">
        <v>12</v>
      </c>
      <c r="K260" s="24" t="n">
        <f aca="false">H260*I260</f>
        <v>105</v>
      </c>
      <c r="L260" s="24" t="n">
        <f aca="false">K260-H260*J260</f>
        <v>69</v>
      </c>
      <c r="M260" s="20" t="s">
        <v>50</v>
      </c>
    </row>
    <row r="261" customFormat="false" ht="15" hidden="false" customHeight="false" outlineLevel="0" collapsed="false">
      <c r="A261" s="20" t="s">
        <v>704</v>
      </c>
      <c r="B261" s="23" t="n">
        <v>45787</v>
      </c>
      <c r="C261" s="20" t="n">
        <f aca="false">MONTH(B261)</f>
        <v>5</v>
      </c>
      <c r="D261" s="20" t="s">
        <v>129</v>
      </c>
      <c r="E261" s="20" t="s">
        <v>109</v>
      </c>
      <c r="F261" s="20" t="s">
        <v>81</v>
      </c>
      <c r="G261" s="20" t="s">
        <v>67</v>
      </c>
      <c r="H261" s="20" t="n">
        <v>3</v>
      </c>
      <c r="I261" s="24" t="n">
        <v>45</v>
      </c>
      <c r="J261" s="24" t="n">
        <v>17</v>
      </c>
      <c r="K261" s="24" t="n">
        <f aca="false">H261*I261</f>
        <v>135</v>
      </c>
      <c r="L261" s="24" t="n">
        <f aca="false">K261-H261*J261</f>
        <v>84</v>
      </c>
      <c r="M261" s="20" t="s">
        <v>50</v>
      </c>
    </row>
    <row r="262" customFormat="false" ht="15" hidden="false" customHeight="false" outlineLevel="0" collapsed="false">
      <c r="A262" s="20" t="s">
        <v>321</v>
      </c>
      <c r="B262" s="23" t="n">
        <v>45787</v>
      </c>
      <c r="C262" s="20" t="n">
        <f aca="false">MONTH(B262)</f>
        <v>5</v>
      </c>
      <c r="D262" s="20" t="s">
        <v>323</v>
      </c>
      <c r="E262" s="20" t="s">
        <v>47</v>
      </c>
      <c r="F262" s="20" t="s">
        <v>92</v>
      </c>
      <c r="G262" s="20" t="s">
        <v>196</v>
      </c>
      <c r="H262" s="20" t="n">
        <v>1</v>
      </c>
      <c r="I262" s="24" t="n">
        <v>89</v>
      </c>
      <c r="J262" s="24" t="n">
        <v>41</v>
      </c>
      <c r="K262" s="24" t="n">
        <f aca="false">H262*I262</f>
        <v>89</v>
      </c>
      <c r="L262" s="24" t="n">
        <f aca="false">K262-H262*J262</f>
        <v>48</v>
      </c>
      <c r="M262" s="20" t="s">
        <v>50</v>
      </c>
    </row>
    <row r="263" customFormat="false" ht="15" hidden="false" customHeight="false" outlineLevel="0" collapsed="false">
      <c r="A263" s="20" t="s">
        <v>1315</v>
      </c>
      <c r="B263" s="23" t="n">
        <v>45787</v>
      </c>
      <c r="C263" s="20" t="n">
        <f aca="false">MONTH(B263)</f>
        <v>5</v>
      </c>
      <c r="D263" s="20" t="s">
        <v>250</v>
      </c>
      <c r="E263" s="20" t="s">
        <v>109</v>
      </c>
      <c r="F263" s="20" t="s">
        <v>48</v>
      </c>
      <c r="G263" s="20" t="s">
        <v>116</v>
      </c>
      <c r="H263" s="20" t="n">
        <v>1</v>
      </c>
      <c r="I263" s="24" t="n">
        <v>28</v>
      </c>
      <c r="J263" s="24" t="n">
        <v>9</v>
      </c>
      <c r="K263" s="24" t="n">
        <f aca="false">H263*I263</f>
        <v>28</v>
      </c>
      <c r="L263" s="24" t="n">
        <f aca="false">K263-H263*J263</f>
        <v>19</v>
      </c>
      <c r="M263" s="20" t="s">
        <v>50</v>
      </c>
    </row>
    <row r="264" customFormat="false" ht="15" hidden="false" customHeight="false" outlineLevel="0" collapsed="false">
      <c r="A264" s="20" t="s">
        <v>1055</v>
      </c>
      <c r="B264" s="23" t="n">
        <v>45787</v>
      </c>
      <c r="C264" s="20" t="n">
        <f aca="false">MONTH(B264)</f>
        <v>5</v>
      </c>
      <c r="D264" s="20" t="s">
        <v>250</v>
      </c>
      <c r="E264" s="20" t="s">
        <v>47</v>
      </c>
      <c r="F264" s="20" t="s">
        <v>48</v>
      </c>
      <c r="G264" s="20" t="s">
        <v>49</v>
      </c>
      <c r="H264" s="20" t="n">
        <v>1</v>
      </c>
      <c r="I264" s="24" t="n">
        <v>18</v>
      </c>
      <c r="J264" s="24" t="n">
        <v>5</v>
      </c>
      <c r="K264" s="24" t="n">
        <f aca="false">H264*I264</f>
        <v>18</v>
      </c>
      <c r="L264" s="24" t="n">
        <f aca="false">K264-H264*J264</f>
        <v>13</v>
      </c>
      <c r="M264" s="20" t="s">
        <v>50</v>
      </c>
    </row>
    <row r="265" customFormat="false" ht="15" hidden="false" customHeight="false" outlineLevel="0" collapsed="false">
      <c r="A265" s="20" t="s">
        <v>1580</v>
      </c>
      <c r="B265" s="23" t="n">
        <v>45788</v>
      </c>
      <c r="C265" s="20" t="n">
        <f aca="false">MONTH(B265)</f>
        <v>5</v>
      </c>
      <c r="D265" s="20" t="s">
        <v>104</v>
      </c>
      <c r="E265" s="20" t="s">
        <v>65</v>
      </c>
      <c r="F265" s="20" t="s">
        <v>110</v>
      </c>
      <c r="G265" s="20" t="s">
        <v>236</v>
      </c>
      <c r="H265" s="20" t="n">
        <v>2</v>
      </c>
      <c r="I265" s="24" t="n">
        <v>30</v>
      </c>
      <c r="J265" s="24" t="n">
        <v>11</v>
      </c>
      <c r="K265" s="24" t="n">
        <f aca="false">H265*I265</f>
        <v>60</v>
      </c>
      <c r="L265" s="24" t="n">
        <f aca="false">K265-H265*J265</f>
        <v>38</v>
      </c>
      <c r="M265" s="20" t="s">
        <v>50</v>
      </c>
    </row>
    <row r="266" customFormat="false" ht="15" hidden="false" customHeight="false" outlineLevel="0" collapsed="false">
      <c r="A266" s="20" t="s">
        <v>520</v>
      </c>
      <c r="B266" s="23" t="n">
        <v>45789</v>
      </c>
      <c r="C266" s="20" t="n">
        <f aca="false">MONTH(B266)</f>
        <v>5</v>
      </c>
      <c r="D266" s="20" t="s">
        <v>522</v>
      </c>
      <c r="E266" s="20" t="s">
        <v>70</v>
      </c>
      <c r="F266" s="20" t="s">
        <v>81</v>
      </c>
      <c r="G266" s="20" t="s">
        <v>61</v>
      </c>
      <c r="H266" s="20" t="n">
        <v>1</v>
      </c>
      <c r="I266" s="24" t="n">
        <v>35</v>
      </c>
      <c r="J266" s="24" t="n">
        <v>12</v>
      </c>
      <c r="K266" s="24" t="n">
        <f aca="false">H266*I266</f>
        <v>35</v>
      </c>
      <c r="L266" s="24" t="n">
        <f aca="false">K266-H266*J266</f>
        <v>23</v>
      </c>
      <c r="M266" s="20" t="s">
        <v>50</v>
      </c>
    </row>
    <row r="267" customFormat="false" ht="15" hidden="false" customHeight="false" outlineLevel="0" collapsed="false">
      <c r="A267" s="20" t="s">
        <v>1572</v>
      </c>
      <c r="B267" s="23" t="n">
        <v>45789</v>
      </c>
      <c r="C267" s="20" t="n">
        <f aca="false">MONTH(B267)</f>
        <v>5</v>
      </c>
      <c r="D267" s="20" t="s">
        <v>801</v>
      </c>
      <c r="E267" s="20" t="s">
        <v>65</v>
      </c>
      <c r="F267" s="20" t="s">
        <v>54</v>
      </c>
      <c r="G267" s="20" t="s">
        <v>55</v>
      </c>
      <c r="H267" s="20" t="n">
        <v>1</v>
      </c>
      <c r="I267" s="24" t="n">
        <v>38</v>
      </c>
      <c r="J267" s="24" t="n">
        <v>16</v>
      </c>
      <c r="K267" s="24" t="n">
        <f aca="false">H267*I267</f>
        <v>38</v>
      </c>
      <c r="L267" s="24" t="n">
        <f aca="false">K267-H267*J267</f>
        <v>22</v>
      </c>
      <c r="M267" s="20" t="s">
        <v>50</v>
      </c>
    </row>
    <row r="268" customFormat="false" ht="15" hidden="false" customHeight="false" outlineLevel="0" collapsed="false">
      <c r="A268" s="20" t="s">
        <v>732</v>
      </c>
      <c r="B268" s="23" t="n">
        <v>45789</v>
      </c>
      <c r="C268" s="20" t="n">
        <f aca="false">MONTH(B268)</f>
        <v>5</v>
      </c>
      <c r="D268" s="20" t="s">
        <v>338</v>
      </c>
      <c r="E268" s="20" t="s">
        <v>47</v>
      </c>
      <c r="F268" s="20" t="s">
        <v>92</v>
      </c>
      <c r="G268" s="20" t="s">
        <v>196</v>
      </c>
      <c r="H268" s="20" t="n">
        <v>1</v>
      </c>
      <c r="I268" s="24" t="n">
        <v>89</v>
      </c>
      <c r="J268" s="24" t="n">
        <v>41</v>
      </c>
      <c r="K268" s="24" t="n">
        <f aca="false">H268*I268</f>
        <v>89</v>
      </c>
      <c r="L268" s="24" t="n">
        <f aca="false">K268-H268*J268</f>
        <v>48</v>
      </c>
      <c r="M268" s="20" t="s">
        <v>50</v>
      </c>
    </row>
    <row r="269" customFormat="false" ht="15" hidden="false" customHeight="false" outlineLevel="0" collapsed="false">
      <c r="A269" s="20" t="s">
        <v>716</v>
      </c>
      <c r="B269" s="23" t="n">
        <v>45789</v>
      </c>
      <c r="C269" s="20" t="n">
        <f aca="false">MONTH(B269)</f>
        <v>5</v>
      </c>
      <c r="D269" s="20" t="s">
        <v>535</v>
      </c>
      <c r="E269" s="20" t="s">
        <v>47</v>
      </c>
      <c r="F269" s="20" t="s">
        <v>92</v>
      </c>
      <c r="G269" s="20" t="s">
        <v>196</v>
      </c>
      <c r="H269" s="20" t="n">
        <v>1</v>
      </c>
      <c r="I269" s="24" t="n">
        <v>89</v>
      </c>
      <c r="J269" s="24" t="n">
        <v>41</v>
      </c>
      <c r="K269" s="24" t="n">
        <f aca="false">H269*I269</f>
        <v>89</v>
      </c>
      <c r="L269" s="24" t="n">
        <f aca="false">K269-H269*J269</f>
        <v>48</v>
      </c>
      <c r="M269" s="20" t="s">
        <v>112</v>
      </c>
    </row>
    <row r="270" customFormat="false" ht="15" hidden="false" customHeight="false" outlineLevel="0" collapsed="false">
      <c r="A270" s="20" t="s">
        <v>726</v>
      </c>
      <c r="B270" s="23" t="n">
        <v>45790</v>
      </c>
      <c r="C270" s="20" t="n">
        <f aca="false">MONTH(B270)</f>
        <v>5</v>
      </c>
      <c r="D270" s="20" t="s">
        <v>108</v>
      </c>
      <c r="E270" s="20" t="s">
        <v>65</v>
      </c>
      <c r="F270" s="20" t="s">
        <v>110</v>
      </c>
      <c r="G270" s="20" t="s">
        <v>111</v>
      </c>
      <c r="H270" s="20" t="n">
        <v>2</v>
      </c>
      <c r="I270" s="24" t="n">
        <v>16</v>
      </c>
      <c r="J270" s="24" t="n">
        <v>5</v>
      </c>
      <c r="K270" s="24" t="n">
        <f aca="false">H270*I270</f>
        <v>32</v>
      </c>
      <c r="L270" s="24" t="n">
        <f aca="false">K270-H270*J270</f>
        <v>22</v>
      </c>
      <c r="M270" s="20" t="s">
        <v>50</v>
      </c>
    </row>
    <row r="271" customFormat="false" ht="15" hidden="false" customHeight="false" outlineLevel="0" collapsed="false">
      <c r="A271" s="20" t="s">
        <v>1481</v>
      </c>
      <c r="B271" s="23" t="n">
        <v>45790</v>
      </c>
      <c r="C271" s="20" t="n">
        <f aca="false">MONTH(B271)</f>
        <v>5</v>
      </c>
      <c r="D271" s="20" t="s">
        <v>362</v>
      </c>
      <c r="E271" s="20" t="s">
        <v>65</v>
      </c>
      <c r="F271" s="20" t="s">
        <v>54</v>
      </c>
      <c r="G271" s="20" t="s">
        <v>76</v>
      </c>
      <c r="H271" s="20" t="n">
        <v>1</v>
      </c>
      <c r="I271" s="24" t="n">
        <v>32</v>
      </c>
      <c r="J271" s="24" t="n">
        <v>13</v>
      </c>
      <c r="K271" s="24" t="n">
        <f aca="false">H271*I271</f>
        <v>32</v>
      </c>
      <c r="L271" s="24" t="n">
        <f aca="false">K271-H271*J271</f>
        <v>19</v>
      </c>
      <c r="M271" s="20" t="s">
        <v>112</v>
      </c>
    </row>
    <row r="272" customFormat="false" ht="15" hidden="false" customHeight="false" outlineLevel="0" collapsed="false">
      <c r="A272" s="20" t="s">
        <v>1243</v>
      </c>
      <c r="B272" s="23" t="n">
        <v>45790</v>
      </c>
      <c r="C272" s="20" t="n">
        <f aca="false">MONTH(B272)</f>
        <v>5</v>
      </c>
      <c r="D272" s="20" t="s">
        <v>286</v>
      </c>
      <c r="E272" s="20" t="s">
        <v>70</v>
      </c>
      <c r="F272" s="20" t="s">
        <v>110</v>
      </c>
      <c r="G272" s="20" t="s">
        <v>236</v>
      </c>
      <c r="H272" s="20" t="n">
        <v>4</v>
      </c>
      <c r="I272" s="24" t="n">
        <v>30</v>
      </c>
      <c r="J272" s="24" t="n">
        <v>11</v>
      </c>
      <c r="K272" s="24" t="n">
        <f aca="false">H272*I272</f>
        <v>120</v>
      </c>
      <c r="L272" s="24" t="n">
        <f aca="false">K272-H272*J272</f>
        <v>76</v>
      </c>
      <c r="M272" s="20" t="s">
        <v>50</v>
      </c>
    </row>
    <row r="273" customFormat="false" ht="15" hidden="false" customHeight="false" outlineLevel="0" collapsed="false">
      <c r="A273" s="20" t="s">
        <v>1041</v>
      </c>
      <c r="B273" s="23" t="n">
        <v>45790</v>
      </c>
      <c r="C273" s="20" t="n">
        <f aca="false">MONTH(B273)</f>
        <v>5</v>
      </c>
      <c r="D273" s="20" t="s">
        <v>214</v>
      </c>
      <c r="E273" s="20" t="s">
        <v>47</v>
      </c>
      <c r="F273" s="20" t="s">
        <v>92</v>
      </c>
      <c r="G273" s="20" t="s">
        <v>93</v>
      </c>
      <c r="H273" s="20" t="n">
        <v>2</v>
      </c>
      <c r="I273" s="24" t="n">
        <v>15</v>
      </c>
      <c r="J273" s="24" t="n">
        <v>5</v>
      </c>
      <c r="K273" s="24" t="n">
        <f aca="false">H273*I273</f>
        <v>30</v>
      </c>
      <c r="L273" s="24" t="n">
        <f aca="false">K273-H273*J273</f>
        <v>20</v>
      </c>
      <c r="M273" s="20" t="s">
        <v>50</v>
      </c>
    </row>
    <row r="274" customFormat="false" ht="15" hidden="false" customHeight="false" outlineLevel="0" collapsed="false">
      <c r="A274" s="20" t="s">
        <v>529</v>
      </c>
      <c r="B274" s="23" t="n">
        <v>45790</v>
      </c>
      <c r="C274" s="20" t="n">
        <f aca="false">MONTH(B274)</f>
        <v>5</v>
      </c>
      <c r="D274" s="20" t="s">
        <v>531</v>
      </c>
      <c r="E274" s="20" t="s">
        <v>59</v>
      </c>
      <c r="F274" s="20" t="s">
        <v>92</v>
      </c>
      <c r="G274" s="20" t="s">
        <v>105</v>
      </c>
      <c r="H274" s="20" t="n">
        <v>1</v>
      </c>
      <c r="I274" s="24" t="n">
        <v>49</v>
      </c>
      <c r="J274" s="24" t="n">
        <v>22</v>
      </c>
      <c r="K274" s="24" t="n">
        <f aca="false">H274*I274</f>
        <v>49</v>
      </c>
      <c r="L274" s="24" t="n">
        <f aca="false">K274-H274*J274</f>
        <v>27</v>
      </c>
      <c r="M274" s="20" t="s">
        <v>50</v>
      </c>
    </row>
    <row r="275" customFormat="false" ht="15" hidden="false" customHeight="false" outlineLevel="0" collapsed="false">
      <c r="A275" s="20" t="s">
        <v>1384</v>
      </c>
      <c r="B275" s="23" t="n">
        <v>45791</v>
      </c>
      <c r="C275" s="20" t="n">
        <f aca="false">MONTH(B275)</f>
        <v>5</v>
      </c>
      <c r="D275" s="20" t="s">
        <v>548</v>
      </c>
      <c r="E275" s="20" t="s">
        <v>47</v>
      </c>
      <c r="F275" s="20" t="s">
        <v>48</v>
      </c>
      <c r="G275" s="20" t="s">
        <v>49</v>
      </c>
      <c r="H275" s="20" t="n">
        <v>2</v>
      </c>
      <c r="I275" s="24" t="n">
        <v>18</v>
      </c>
      <c r="J275" s="24" t="n">
        <v>5</v>
      </c>
      <c r="K275" s="24" t="n">
        <f aca="false">H275*I275</f>
        <v>36</v>
      </c>
      <c r="L275" s="24" t="n">
        <f aca="false">K275-H275*J275</f>
        <v>26</v>
      </c>
      <c r="M275" s="20" t="s">
        <v>50</v>
      </c>
    </row>
    <row r="276" customFormat="false" ht="15" hidden="false" customHeight="false" outlineLevel="0" collapsed="false">
      <c r="A276" s="20" t="s">
        <v>1515</v>
      </c>
      <c r="B276" s="23" t="n">
        <v>45791</v>
      </c>
      <c r="C276" s="20" t="n">
        <f aca="false">MONTH(B276)</f>
        <v>5</v>
      </c>
      <c r="D276" s="20" t="s">
        <v>291</v>
      </c>
      <c r="E276" s="20" t="s">
        <v>47</v>
      </c>
      <c r="F276" s="20" t="s">
        <v>92</v>
      </c>
      <c r="G276" s="20" t="s">
        <v>196</v>
      </c>
      <c r="H276" s="20" t="n">
        <v>1</v>
      </c>
      <c r="I276" s="24" t="n">
        <v>89</v>
      </c>
      <c r="J276" s="24" t="n">
        <v>41</v>
      </c>
      <c r="K276" s="24" t="n">
        <f aca="false">H276*I276</f>
        <v>89</v>
      </c>
      <c r="L276" s="24" t="n">
        <f aca="false">K276-H276*J276</f>
        <v>48</v>
      </c>
      <c r="M276" s="20" t="s">
        <v>50</v>
      </c>
    </row>
    <row r="277" customFormat="false" ht="15" hidden="false" customHeight="false" outlineLevel="0" collapsed="false">
      <c r="A277" s="20" t="s">
        <v>890</v>
      </c>
      <c r="B277" s="23" t="n">
        <v>45791</v>
      </c>
      <c r="C277" s="20" t="n">
        <f aca="false">MONTH(B277)</f>
        <v>5</v>
      </c>
      <c r="D277" s="20" t="s">
        <v>719</v>
      </c>
      <c r="E277" s="20" t="s">
        <v>47</v>
      </c>
      <c r="F277" s="20" t="s">
        <v>92</v>
      </c>
      <c r="G277" s="20" t="s">
        <v>105</v>
      </c>
      <c r="H277" s="20" t="n">
        <v>2</v>
      </c>
      <c r="I277" s="24" t="n">
        <v>49</v>
      </c>
      <c r="J277" s="24" t="n">
        <v>22</v>
      </c>
      <c r="K277" s="24" t="n">
        <f aca="false">H277*I277</f>
        <v>98</v>
      </c>
      <c r="L277" s="24" t="n">
        <f aca="false">K277-H277*J277</f>
        <v>54</v>
      </c>
      <c r="M277" s="20" t="s">
        <v>50</v>
      </c>
    </row>
    <row r="278" customFormat="false" ht="15" hidden="false" customHeight="false" outlineLevel="0" collapsed="false">
      <c r="A278" s="20" t="s">
        <v>187</v>
      </c>
      <c r="B278" s="23" t="n">
        <v>45791</v>
      </c>
      <c r="C278" s="20" t="n">
        <f aca="false">MONTH(B278)</f>
        <v>5</v>
      </c>
      <c r="D278" s="20" t="s">
        <v>189</v>
      </c>
      <c r="E278" s="20" t="s">
        <v>59</v>
      </c>
      <c r="F278" s="20" t="s">
        <v>48</v>
      </c>
      <c r="G278" s="20" t="s">
        <v>144</v>
      </c>
      <c r="H278" s="20" t="n">
        <v>1</v>
      </c>
      <c r="I278" s="24" t="n">
        <v>54</v>
      </c>
      <c r="J278" s="24" t="n">
        <v>24</v>
      </c>
      <c r="K278" s="24" t="n">
        <f aca="false">H278*I278</f>
        <v>54</v>
      </c>
      <c r="L278" s="24" t="n">
        <f aca="false">K278-H278*J278</f>
        <v>30</v>
      </c>
      <c r="M278" s="20" t="s">
        <v>50</v>
      </c>
    </row>
    <row r="279" customFormat="false" ht="15" hidden="false" customHeight="false" outlineLevel="0" collapsed="false">
      <c r="A279" s="20" t="s">
        <v>168</v>
      </c>
      <c r="B279" s="23" t="n">
        <v>45791</v>
      </c>
      <c r="C279" s="20" t="n">
        <f aca="false">MONTH(B279)</f>
        <v>5</v>
      </c>
      <c r="D279" s="20" t="s">
        <v>170</v>
      </c>
      <c r="E279" s="20" t="s">
        <v>47</v>
      </c>
      <c r="F279" s="20" t="s">
        <v>81</v>
      </c>
      <c r="G279" s="20" t="s">
        <v>61</v>
      </c>
      <c r="H279" s="20" t="n">
        <v>1</v>
      </c>
      <c r="I279" s="24" t="n">
        <v>35</v>
      </c>
      <c r="J279" s="24" t="n">
        <v>12</v>
      </c>
      <c r="K279" s="24" t="n">
        <f aca="false">H279*I279</f>
        <v>35</v>
      </c>
      <c r="L279" s="24" t="n">
        <f aca="false">K279-H279*J279</f>
        <v>23</v>
      </c>
      <c r="M279" s="20" t="s">
        <v>50</v>
      </c>
    </row>
    <row r="280" customFormat="false" ht="15" hidden="false" customHeight="false" outlineLevel="0" collapsed="false">
      <c r="A280" s="20" t="s">
        <v>117</v>
      </c>
      <c r="B280" s="23" t="n">
        <v>45792</v>
      </c>
      <c r="C280" s="20" t="n">
        <f aca="false">MONTH(B280)</f>
        <v>5</v>
      </c>
      <c r="D280" s="20" t="s">
        <v>119</v>
      </c>
      <c r="E280" s="20" t="s">
        <v>47</v>
      </c>
      <c r="F280" s="20" t="s">
        <v>110</v>
      </c>
      <c r="G280" s="20" t="s">
        <v>121</v>
      </c>
      <c r="H280" s="20" t="n">
        <v>1</v>
      </c>
      <c r="I280" s="24" t="n">
        <v>21</v>
      </c>
      <c r="J280" s="24" t="n">
        <v>7</v>
      </c>
      <c r="K280" s="24" t="n">
        <f aca="false">H280*I280</f>
        <v>21</v>
      </c>
      <c r="L280" s="24" t="n">
        <f aca="false">K280-H280*J280</f>
        <v>14</v>
      </c>
      <c r="M280" s="20" t="s">
        <v>50</v>
      </c>
    </row>
    <row r="281" customFormat="false" ht="15" hidden="false" customHeight="false" outlineLevel="0" collapsed="false">
      <c r="A281" s="20" t="s">
        <v>958</v>
      </c>
      <c r="B281" s="23" t="n">
        <v>45793</v>
      </c>
      <c r="C281" s="20" t="n">
        <f aca="false">MONTH(B281)</f>
        <v>5</v>
      </c>
      <c r="D281" s="20" t="s">
        <v>344</v>
      </c>
      <c r="E281" s="20" t="s">
        <v>47</v>
      </c>
      <c r="F281" s="20" t="s">
        <v>81</v>
      </c>
      <c r="G281" s="20" t="s">
        <v>61</v>
      </c>
      <c r="H281" s="20" t="n">
        <v>1</v>
      </c>
      <c r="I281" s="24" t="n">
        <v>35</v>
      </c>
      <c r="J281" s="24" t="n">
        <v>12</v>
      </c>
      <c r="K281" s="24" t="n">
        <f aca="false">H281*I281</f>
        <v>35</v>
      </c>
      <c r="L281" s="24" t="n">
        <f aca="false">K281-H281*J281</f>
        <v>23</v>
      </c>
      <c r="M281" s="20" t="s">
        <v>50</v>
      </c>
    </row>
    <row r="282" customFormat="false" ht="15" hidden="false" customHeight="false" outlineLevel="0" collapsed="false">
      <c r="A282" s="20" t="s">
        <v>715</v>
      </c>
      <c r="B282" s="23" t="n">
        <v>45793</v>
      </c>
      <c r="C282" s="20" t="n">
        <f aca="false">MONTH(B282)</f>
        <v>5</v>
      </c>
      <c r="D282" s="20" t="s">
        <v>531</v>
      </c>
      <c r="E282" s="20" t="s">
        <v>109</v>
      </c>
      <c r="F282" s="20" t="s">
        <v>110</v>
      </c>
      <c r="G282" s="20" t="s">
        <v>236</v>
      </c>
      <c r="H282" s="20" t="n">
        <v>1</v>
      </c>
      <c r="I282" s="24" t="n">
        <v>30</v>
      </c>
      <c r="J282" s="24" t="n">
        <v>11</v>
      </c>
      <c r="K282" s="24" t="n">
        <f aca="false">H282*I282</f>
        <v>30</v>
      </c>
      <c r="L282" s="24" t="n">
        <f aca="false">K282-H282*J282</f>
        <v>19</v>
      </c>
      <c r="M282" s="20" t="s">
        <v>50</v>
      </c>
    </row>
    <row r="283" customFormat="false" ht="15" hidden="false" customHeight="false" outlineLevel="0" collapsed="false">
      <c r="A283" s="20" t="s">
        <v>1044</v>
      </c>
      <c r="B283" s="23" t="n">
        <v>45793</v>
      </c>
      <c r="C283" s="20" t="n">
        <f aca="false">MONTH(B283)</f>
        <v>5</v>
      </c>
      <c r="D283" s="20" t="s">
        <v>245</v>
      </c>
      <c r="E283" s="20" t="s">
        <v>47</v>
      </c>
      <c r="F283" s="20" t="s">
        <v>48</v>
      </c>
      <c r="G283" s="20" t="s">
        <v>49</v>
      </c>
      <c r="H283" s="20" t="n">
        <v>2</v>
      </c>
      <c r="I283" s="24" t="n">
        <v>18</v>
      </c>
      <c r="J283" s="24" t="n">
        <v>5</v>
      </c>
      <c r="K283" s="24" t="n">
        <f aca="false">H283*I283</f>
        <v>36</v>
      </c>
      <c r="L283" s="24" t="n">
        <f aca="false">K283-H283*J283</f>
        <v>26</v>
      </c>
      <c r="M283" s="20" t="s">
        <v>50</v>
      </c>
    </row>
    <row r="284" customFormat="false" ht="15" hidden="false" customHeight="false" outlineLevel="0" collapsed="false">
      <c r="A284" s="20" t="s">
        <v>145</v>
      </c>
      <c r="B284" s="23" t="n">
        <v>45794</v>
      </c>
      <c r="C284" s="20" t="n">
        <f aca="false">MONTH(B284)</f>
        <v>5</v>
      </c>
      <c r="D284" s="20" t="s">
        <v>147</v>
      </c>
      <c r="E284" s="20" t="s">
        <v>59</v>
      </c>
      <c r="F284" s="20" t="s">
        <v>81</v>
      </c>
      <c r="G284" s="20" t="s">
        <v>67</v>
      </c>
      <c r="H284" s="20" t="n">
        <v>1</v>
      </c>
      <c r="I284" s="24" t="n">
        <v>45</v>
      </c>
      <c r="J284" s="24" t="n">
        <v>17</v>
      </c>
      <c r="K284" s="24" t="n">
        <f aca="false">H284*I284</f>
        <v>45</v>
      </c>
      <c r="L284" s="24" t="n">
        <f aca="false">K284-H284*J284</f>
        <v>28</v>
      </c>
      <c r="M284" s="20" t="s">
        <v>50</v>
      </c>
    </row>
    <row r="285" customFormat="false" ht="15" hidden="false" customHeight="false" outlineLevel="0" collapsed="false">
      <c r="A285" s="20" t="s">
        <v>544</v>
      </c>
      <c r="B285" s="23" t="n">
        <v>45794</v>
      </c>
      <c r="C285" s="20" t="n">
        <f aca="false">MONTH(B285)</f>
        <v>5</v>
      </c>
      <c r="D285" s="20" t="s">
        <v>262</v>
      </c>
      <c r="E285" s="20" t="s">
        <v>47</v>
      </c>
      <c r="F285" s="20" t="s">
        <v>48</v>
      </c>
      <c r="G285" s="20" t="s">
        <v>49</v>
      </c>
      <c r="H285" s="20" t="n">
        <v>1</v>
      </c>
      <c r="I285" s="24" t="n">
        <v>18</v>
      </c>
      <c r="J285" s="24" t="n">
        <v>5</v>
      </c>
      <c r="K285" s="24" t="n">
        <f aca="false">H285*I285</f>
        <v>18</v>
      </c>
      <c r="L285" s="24" t="n">
        <f aca="false">K285-H285*J285</f>
        <v>13</v>
      </c>
      <c r="M285" s="20" t="s">
        <v>50</v>
      </c>
    </row>
    <row r="286" customFormat="false" ht="15" hidden="false" customHeight="false" outlineLevel="0" collapsed="false">
      <c r="A286" s="20" t="s">
        <v>962</v>
      </c>
      <c r="B286" s="23" t="n">
        <v>45794</v>
      </c>
      <c r="C286" s="20" t="n">
        <f aca="false">MONTH(B286)</f>
        <v>5</v>
      </c>
      <c r="D286" s="20" t="s">
        <v>296</v>
      </c>
      <c r="E286" s="20" t="s">
        <v>47</v>
      </c>
      <c r="F286" s="20" t="s">
        <v>54</v>
      </c>
      <c r="G286" s="20" t="s">
        <v>76</v>
      </c>
      <c r="H286" s="20" t="n">
        <v>3</v>
      </c>
      <c r="I286" s="24" t="n">
        <v>32</v>
      </c>
      <c r="J286" s="24" t="n">
        <v>13</v>
      </c>
      <c r="K286" s="24" t="n">
        <f aca="false">H286*I286</f>
        <v>96</v>
      </c>
      <c r="L286" s="24" t="n">
        <f aca="false">K286-H286*J286</f>
        <v>57</v>
      </c>
      <c r="M286" s="20" t="s">
        <v>50</v>
      </c>
    </row>
    <row r="287" customFormat="false" ht="15" hidden="false" customHeight="false" outlineLevel="0" collapsed="false">
      <c r="A287" s="20" t="s">
        <v>456</v>
      </c>
      <c r="B287" s="23" t="n">
        <v>45795</v>
      </c>
      <c r="C287" s="20" t="n">
        <f aca="false">MONTH(B287)</f>
        <v>5</v>
      </c>
      <c r="D287" s="20" t="s">
        <v>457</v>
      </c>
      <c r="E287" s="20" t="s">
        <v>59</v>
      </c>
      <c r="F287" s="20" t="s">
        <v>81</v>
      </c>
      <c r="G287" s="20" t="s">
        <v>61</v>
      </c>
      <c r="H287" s="20" t="n">
        <v>2</v>
      </c>
      <c r="I287" s="24" t="n">
        <v>35</v>
      </c>
      <c r="J287" s="24" t="n">
        <v>12</v>
      </c>
      <c r="K287" s="24" t="n">
        <f aca="false">H287*I287</f>
        <v>70</v>
      </c>
      <c r="L287" s="24" t="n">
        <f aca="false">K287-H287*J287</f>
        <v>46</v>
      </c>
      <c r="M287" s="20" t="s">
        <v>50</v>
      </c>
    </row>
    <row r="288" customFormat="false" ht="15" hidden="false" customHeight="false" outlineLevel="0" collapsed="false">
      <c r="A288" s="20" t="s">
        <v>1626</v>
      </c>
      <c r="B288" s="23" t="n">
        <v>45795</v>
      </c>
      <c r="C288" s="20" t="n">
        <f aca="false">MONTH(B288)</f>
        <v>5</v>
      </c>
      <c r="D288" s="20" t="s">
        <v>1008</v>
      </c>
      <c r="E288" s="20" t="s">
        <v>65</v>
      </c>
      <c r="F288" s="20" t="s">
        <v>48</v>
      </c>
      <c r="G288" s="20" t="s">
        <v>144</v>
      </c>
      <c r="H288" s="20" t="n">
        <v>2</v>
      </c>
      <c r="I288" s="24" t="n">
        <v>54</v>
      </c>
      <c r="J288" s="24" t="n">
        <v>24</v>
      </c>
      <c r="K288" s="24" t="n">
        <f aca="false">H288*I288</f>
        <v>108</v>
      </c>
      <c r="L288" s="24" t="n">
        <f aca="false">K288-H288*J288</f>
        <v>60</v>
      </c>
      <c r="M288" s="20" t="s">
        <v>50</v>
      </c>
    </row>
    <row r="289" customFormat="false" ht="15" hidden="false" customHeight="false" outlineLevel="0" collapsed="false">
      <c r="A289" s="20" t="s">
        <v>614</v>
      </c>
      <c r="B289" s="23" t="n">
        <v>45795</v>
      </c>
      <c r="C289" s="20" t="n">
        <f aca="false">MONTH(B289)</f>
        <v>5</v>
      </c>
      <c r="D289" s="20" t="s">
        <v>616</v>
      </c>
      <c r="E289" s="20" t="s">
        <v>47</v>
      </c>
      <c r="F289" s="20" t="s">
        <v>54</v>
      </c>
      <c r="G289" s="20" t="s">
        <v>72</v>
      </c>
      <c r="H289" s="20" t="n">
        <v>1</v>
      </c>
      <c r="I289" s="24" t="n">
        <v>24</v>
      </c>
      <c r="J289" s="24" t="n">
        <v>9</v>
      </c>
      <c r="K289" s="24" t="n">
        <f aca="false">H289*I289</f>
        <v>24</v>
      </c>
      <c r="L289" s="24" t="n">
        <f aca="false">K289-H289*J289</f>
        <v>15</v>
      </c>
      <c r="M289" s="20" t="s">
        <v>50</v>
      </c>
    </row>
    <row r="290" customFormat="false" ht="15" hidden="false" customHeight="false" outlineLevel="0" collapsed="false">
      <c r="A290" s="20" t="s">
        <v>305</v>
      </c>
      <c r="B290" s="23" t="n">
        <v>45796</v>
      </c>
      <c r="C290" s="20" t="n">
        <f aca="false">MONTH(B290)</f>
        <v>5</v>
      </c>
      <c r="D290" s="20" t="s">
        <v>306</v>
      </c>
      <c r="E290" s="20" t="s">
        <v>47</v>
      </c>
      <c r="F290" s="20" t="s">
        <v>54</v>
      </c>
      <c r="G290" s="20" t="s">
        <v>72</v>
      </c>
      <c r="H290" s="20" t="n">
        <v>1</v>
      </c>
      <c r="I290" s="24" t="n">
        <v>24</v>
      </c>
      <c r="J290" s="24" t="n">
        <v>9</v>
      </c>
      <c r="K290" s="24" t="n">
        <f aca="false">H290*I290</f>
        <v>24</v>
      </c>
      <c r="L290" s="24" t="n">
        <f aca="false">K290-H290*J290</f>
        <v>15</v>
      </c>
      <c r="M290" s="20" t="s">
        <v>50</v>
      </c>
    </row>
    <row r="291" customFormat="false" ht="15" hidden="false" customHeight="false" outlineLevel="0" collapsed="false">
      <c r="A291" s="20" t="s">
        <v>158</v>
      </c>
      <c r="B291" s="23" t="n">
        <v>45796</v>
      </c>
      <c r="C291" s="20" t="n">
        <f aca="false">MONTH(B291)</f>
        <v>5</v>
      </c>
      <c r="D291" s="20" t="s">
        <v>104</v>
      </c>
      <c r="E291" s="20" t="s">
        <v>47</v>
      </c>
      <c r="F291" s="20" t="s">
        <v>92</v>
      </c>
      <c r="G291" s="20" t="s">
        <v>105</v>
      </c>
      <c r="H291" s="20" t="n">
        <v>1</v>
      </c>
      <c r="I291" s="24" t="n">
        <v>49</v>
      </c>
      <c r="J291" s="24" t="n">
        <v>22</v>
      </c>
      <c r="K291" s="24" t="n">
        <f aca="false">H291*I291</f>
        <v>49</v>
      </c>
      <c r="L291" s="24" t="n">
        <f aca="false">K291-H291*J291</f>
        <v>27</v>
      </c>
      <c r="M291" s="20" t="s">
        <v>112</v>
      </c>
    </row>
    <row r="292" customFormat="false" ht="15" hidden="false" customHeight="false" outlineLevel="0" collapsed="false">
      <c r="A292" s="20" t="s">
        <v>316</v>
      </c>
      <c r="B292" s="23" t="n">
        <v>45796</v>
      </c>
      <c r="C292" s="20" t="n">
        <f aca="false">MONTH(B292)</f>
        <v>5</v>
      </c>
      <c r="D292" s="20" t="s">
        <v>318</v>
      </c>
      <c r="E292" s="20" t="s">
        <v>70</v>
      </c>
      <c r="F292" s="20" t="s">
        <v>92</v>
      </c>
      <c r="G292" s="20" t="s">
        <v>196</v>
      </c>
      <c r="H292" s="20" t="n">
        <v>1</v>
      </c>
      <c r="I292" s="24" t="n">
        <v>89</v>
      </c>
      <c r="J292" s="24" t="n">
        <v>41</v>
      </c>
      <c r="K292" s="24" t="n">
        <f aca="false">H292*I292</f>
        <v>89</v>
      </c>
      <c r="L292" s="24" t="n">
        <f aca="false">K292-H292*J292</f>
        <v>48</v>
      </c>
      <c r="M292" s="20" t="s">
        <v>112</v>
      </c>
    </row>
    <row r="293" customFormat="false" ht="15" hidden="false" customHeight="false" outlineLevel="0" collapsed="false">
      <c r="A293" s="20" t="s">
        <v>1526</v>
      </c>
      <c r="B293" s="23" t="n">
        <v>45796</v>
      </c>
      <c r="C293" s="20" t="n">
        <f aca="false">MONTH(B293)</f>
        <v>5</v>
      </c>
      <c r="D293" s="20" t="s">
        <v>241</v>
      </c>
      <c r="E293" s="20" t="s">
        <v>109</v>
      </c>
      <c r="F293" s="20" t="s">
        <v>48</v>
      </c>
      <c r="G293" s="20" t="s">
        <v>144</v>
      </c>
      <c r="H293" s="20" t="n">
        <v>1</v>
      </c>
      <c r="I293" s="24" t="n">
        <v>54</v>
      </c>
      <c r="J293" s="24" t="n">
        <v>24</v>
      </c>
      <c r="K293" s="24" t="n">
        <f aca="false">H293*I293</f>
        <v>54</v>
      </c>
      <c r="L293" s="24" t="n">
        <f aca="false">K293-H293*J293</f>
        <v>30</v>
      </c>
      <c r="M293" s="20" t="s">
        <v>50</v>
      </c>
    </row>
    <row r="294" customFormat="false" ht="15" hidden="false" customHeight="false" outlineLevel="0" collapsed="false">
      <c r="A294" s="20" t="s">
        <v>1353</v>
      </c>
      <c r="B294" s="23" t="n">
        <v>45797</v>
      </c>
      <c r="C294" s="20" t="n">
        <f aca="false">MONTH(B294)</f>
        <v>5</v>
      </c>
      <c r="D294" s="20" t="s">
        <v>46</v>
      </c>
      <c r="E294" s="20" t="s">
        <v>65</v>
      </c>
      <c r="F294" s="20" t="s">
        <v>110</v>
      </c>
      <c r="G294" s="20" t="s">
        <v>111</v>
      </c>
      <c r="H294" s="20" t="n">
        <v>3</v>
      </c>
      <c r="I294" s="24" t="n">
        <v>16</v>
      </c>
      <c r="J294" s="24" t="n">
        <v>5</v>
      </c>
      <c r="K294" s="24" t="n">
        <f aca="false">H294*I294</f>
        <v>48</v>
      </c>
      <c r="L294" s="24" t="n">
        <f aca="false">K294-H294*J294</f>
        <v>33</v>
      </c>
      <c r="M294" s="20" t="s">
        <v>50</v>
      </c>
    </row>
    <row r="295" customFormat="false" ht="15" hidden="false" customHeight="false" outlineLevel="0" collapsed="false">
      <c r="A295" s="20" t="s">
        <v>603</v>
      </c>
      <c r="B295" s="23" t="n">
        <v>45797</v>
      </c>
      <c r="C295" s="20" t="n">
        <f aca="false">MONTH(B295)</f>
        <v>5</v>
      </c>
      <c r="D295" s="20" t="s">
        <v>250</v>
      </c>
      <c r="E295" s="20" t="s">
        <v>59</v>
      </c>
      <c r="F295" s="20" t="s">
        <v>54</v>
      </c>
      <c r="G295" s="20" t="s">
        <v>72</v>
      </c>
      <c r="H295" s="20" t="n">
        <v>2</v>
      </c>
      <c r="I295" s="24" t="n">
        <v>24</v>
      </c>
      <c r="J295" s="24" t="n">
        <v>9</v>
      </c>
      <c r="K295" s="24" t="n">
        <f aca="false">H295*I295</f>
        <v>48</v>
      </c>
      <c r="L295" s="24" t="n">
        <f aca="false">K295-H295*J295</f>
        <v>30</v>
      </c>
      <c r="M295" s="20" t="s">
        <v>50</v>
      </c>
    </row>
    <row r="296" customFormat="false" ht="15" hidden="false" customHeight="false" outlineLevel="0" collapsed="false">
      <c r="A296" s="20" t="s">
        <v>284</v>
      </c>
      <c r="B296" s="23" t="n">
        <v>45797</v>
      </c>
      <c r="C296" s="20" t="n">
        <f aca="false">MONTH(B296)</f>
        <v>5</v>
      </c>
      <c r="D296" s="20" t="s">
        <v>286</v>
      </c>
      <c r="E296" s="20" t="s">
        <v>109</v>
      </c>
      <c r="F296" s="20" t="s">
        <v>54</v>
      </c>
      <c r="G296" s="20" t="s">
        <v>76</v>
      </c>
      <c r="H296" s="20" t="n">
        <v>1</v>
      </c>
      <c r="I296" s="24" t="n">
        <v>32</v>
      </c>
      <c r="J296" s="24" t="n">
        <v>13</v>
      </c>
      <c r="K296" s="24" t="n">
        <f aca="false">H296*I296</f>
        <v>32</v>
      </c>
      <c r="L296" s="24" t="n">
        <f aca="false">K296-H296*J296</f>
        <v>19</v>
      </c>
      <c r="M296" s="20" t="s">
        <v>112</v>
      </c>
    </row>
    <row r="297" customFormat="false" ht="15" hidden="false" customHeight="false" outlineLevel="0" collapsed="false">
      <c r="A297" s="20" t="s">
        <v>449</v>
      </c>
      <c r="B297" s="23" t="n">
        <v>45797</v>
      </c>
      <c r="C297" s="20" t="n">
        <f aca="false">MONTH(B297)</f>
        <v>5</v>
      </c>
      <c r="D297" s="20" t="s">
        <v>335</v>
      </c>
      <c r="E297" s="20" t="s">
        <v>47</v>
      </c>
      <c r="F297" s="20" t="s">
        <v>81</v>
      </c>
      <c r="G297" s="20" t="s">
        <v>67</v>
      </c>
      <c r="H297" s="20" t="n">
        <v>3</v>
      </c>
      <c r="I297" s="24" t="n">
        <v>45</v>
      </c>
      <c r="J297" s="24" t="n">
        <v>17</v>
      </c>
      <c r="K297" s="24" t="n">
        <f aca="false">H297*I297</f>
        <v>135</v>
      </c>
      <c r="L297" s="24" t="n">
        <f aca="false">K297-H297*J297</f>
        <v>84</v>
      </c>
      <c r="M297" s="20" t="s">
        <v>50</v>
      </c>
    </row>
    <row r="298" customFormat="false" ht="15" hidden="false" customHeight="false" outlineLevel="0" collapsed="false">
      <c r="A298" s="20" t="s">
        <v>657</v>
      </c>
      <c r="B298" s="23" t="n">
        <v>45798</v>
      </c>
      <c r="C298" s="20" t="n">
        <f aca="false">MONTH(B298)</f>
        <v>5</v>
      </c>
      <c r="D298" s="20" t="s">
        <v>174</v>
      </c>
      <c r="E298" s="20" t="s">
        <v>47</v>
      </c>
      <c r="F298" s="20" t="s">
        <v>81</v>
      </c>
      <c r="G298" s="20" t="s">
        <v>61</v>
      </c>
      <c r="H298" s="20" t="n">
        <v>1</v>
      </c>
      <c r="I298" s="24" t="n">
        <v>35</v>
      </c>
      <c r="J298" s="24" t="n">
        <v>12</v>
      </c>
      <c r="K298" s="24" t="n">
        <f aca="false">H298*I298</f>
        <v>35</v>
      </c>
      <c r="L298" s="24" t="n">
        <f aca="false">K298-H298*J298</f>
        <v>23</v>
      </c>
      <c r="M298" s="20" t="s">
        <v>50</v>
      </c>
    </row>
    <row r="299" customFormat="false" ht="15" hidden="false" customHeight="false" outlineLevel="0" collapsed="false">
      <c r="A299" s="20" t="s">
        <v>1675</v>
      </c>
      <c r="B299" s="23" t="n">
        <v>45799</v>
      </c>
      <c r="C299" s="20" t="n">
        <f aca="false">MONTH(B299)</f>
        <v>5</v>
      </c>
      <c r="D299" s="20" t="s">
        <v>323</v>
      </c>
      <c r="E299" s="20" t="s">
        <v>47</v>
      </c>
      <c r="F299" s="20" t="s">
        <v>110</v>
      </c>
      <c r="G299" s="20" t="s">
        <v>111</v>
      </c>
      <c r="H299" s="20" t="n">
        <v>1</v>
      </c>
      <c r="I299" s="24" t="n">
        <v>16</v>
      </c>
      <c r="J299" s="24" t="n">
        <v>5</v>
      </c>
      <c r="K299" s="24" t="n">
        <f aca="false">H299*I299</f>
        <v>16</v>
      </c>
      <c r="L299" s="24" t="n">
        <f aca="false">K299-H299*J299</f>
        <v>11</v>
      </c>
      <c r="M299" s="20" t="s">
        <v>50</v>
      </c>
    </row>
    <row r="300" customFormat="false" ht="15" hidden="false" customHeight="false" outlineLevel="0" collapsed="false">
      <c r="A300" s="20" t="s">
        <v>888</v>
      </c>
      <c r="B300" s="23" t="n">
        <v>45800</v>
      </c>
      <c r="C300" s="20" t="n">
        <f aca="false">MONTH(B300)</f>
        <v>5</v>
      </c>
      <c r="D300" s="20" t="s">
        <v>286</v>
      </c>
      <c r="E300" s="20" t="s">
        <v>65</v>
      </c>
      <c r="F300" s="20" t="s">
        <v>110</v>
      </c>
      <c r="G300" s="20" t="s">
        <v>111</v>
      </c>
      <c r="H300" s="20" t="n">
        <v>1</v>
      </c>
      <c r="I300" s="24" t="n">
        <v>16</v>
      </c>
      <c r="J300" s="24" t="n">
        <v>5</v>
      </c>
      <c r="K300" s="24" t="n">
        <f aca="false">H300*I300</f>
        <v>16</v>
      </c>
      <c r="L300" s="24" t="n">
        <f aca="false">K300-H300*J300</f>
        <v>11</v>
      </c>
      <c r="M300" s="20" t="s">
        <v>50</v>
      </c>
    </row>
    <row r="301" customFormat="false" ht="15" hidden="false" customHeight="false" outlineLevel="0" collapsed="false">
      <c r="A301" s="20" t="s">
        <v>856</v>
      </c>
      <c r="B301" s="23" t="n">
        <v>45800</v>
      </c>
      <c r="C301" s="20" t="n">
        <f aca="false">MONTH(B301)</f>
        <v>5</v>
      </c>
      <c r="D301" s="20" t="s">
        <v>457</v>
      </c>
      <c r="E301" s="20" t="s">
        <v>47</v>
      </c>
      <c r="F301" s="20" t="s">
        <v>81</v>
      </c>
      <c r="G301" s="20" t="s">
        <v>67</v>
      </c>
      <c r="H301" s="20" t="n">
        <v>1</v>
      </c>
      <c r="I301" s="24" t="n">
        <v>45</v>
      </c>
      <c r="J301" s="24" t="n">
        <v>17</v>
      </c>
      <c r="K301" s="24" t="n">
        <f aca="false">H301*I301</f>
        <v>45</v>
      </c>
      <c r="L301" s="24" t="n">
        <f aca="false">K301-H301*J301</f>
        <v>28</v>
      </c>
      <c r="M301" s="20" t="s">
        <v>50</v>
      </c>
    </row>
    <row r="302" customFormat="false" ht="15" hidden="false" customHeight="false" outlineLevel="0" collapsed="false">
      <c r="A302" s="20" t="s">
        <v>1553</v>
      </c>
      <c r="B302" s="23" t="n">
        <v>45800</v>
      </c>
      <c r="C302" s="20" t="n">
        <f aca="false">MONTH(B302)</f>
        <v>5</v>
      </c>
      <c r="D302" s="20" t="s">
        <v>139</v>
      </c>
      <c r="E302" s="20" t="s">
        <v>59</v>
      </c>
      <c r="F302" s="20" t="s">
        <v>54</v>
      </c>
      <c r="G302" s="20" t="s">
        <v>72</v>
      </c>
      <c r="H302" s="20" t="n">
        <v>2</v>
      </c>
      <c r="I302" s="24" t="n">
        <v>24</v>
      </c>
      <c r="J302" s="24" t="n">
        <v>9</v>
      </c>
      <c r="K302" s="24" t="n">
        <f aca="false">H302*I302</f>
        <v>48</v>
      </c>
      <c r="L302" s="24" t="n">
        <f aca="false">K302-H302*J302</f>
        <v>30</v>
      </c>
      <c r="M302" s="20" t="s">
        <v>50</v>
      </c>
    </row>
    <row r="303" customFormat="false" ht="15" hidden="false" customHeight="false" outlineLevel="0" collapsed="false">
      <c r="A303" s="20" t="s">
        <v>249</v>
      </c>
      <c r="B303" s="23" t="n">
        <v>45801</v>
      </c>
      <c r="C303" s="20" t="n">
        <f aca="false">MONTH(B303)</f>
        <v>5</v>
      </c>
      <c r="D303" s="20" t="s">
        <v>250</v>
      </c>
      <c r="E303" s="20" t="s">
        <v>47</v>
      </c>
      <c r="F303" s="20" t="s">
        <v>81</v>
      </c>
      <c r="G303" s="20" t="s">
        <v>82</v>
      </c>
      <c r="H303" s="20" t="n">
        <v>2</v>
      </c>
      <c r="I303" s="24" t="n">
        <v>22</v>
      </c>
      <c r="J303" s="24" t="n">
        <v>8</v>
      </c>
      <c r="K303" s="24" t="n">
        <f aca="false">H303*I303</f>
        <v>44</v>
      </c>
      <c r="L303" s="24" t="n">
        <f aca="false">K303-H303*J303</f>
        <v>28</v>
      </c>
      <c r="M303" s="20" t="s">
        <v>50</v>
      </c>
    </row>
    <row r="304" customFormat="false" ht="15" hidden="false" customHeight="false" outlineLevel="0" collapsed="false">
      <c r="A304" s="20" t="s">
        <v>773</v>
      </c>
      <c r="B304" s="23" t="n">
        <v>45801</v>
      </c>
      <c r="C304" s="20" t="n">
        <f aca="false">MONTH(B304)</f>
        <v>5</v>
      </c>
      <c r="D304" s="20" t="s">
        <v>210</v>
      </c>
      <c r="E304" s="20" t="s">
        <v>47</v>
      </c>
      <c r="F304" s="20" t="s">
        <v>110</v>
      </c>
      <c r="G304" s="20" t="s">
        <v>121</v>
      </c>
      <c r="H304" s="20" t="n">
        <v>1</v>
      </c>
      <c r="I304" s="24" t="n">
        <v>21</v>
      </c>
      <c r="J304" s="24" t="n">
        <v>7</v>
      </c>
      <c r="K304" s="24" t="n">
        <f aca="false">H304*I304</f>
        <v>21</v>
      </c>
      <c r="L304" s="24" t="n">
        <f aca="false">K304-H304*J304</f>
        <v>14</v>
      </c>
      <c r="M304" s="20" t="s">
        <v>50</v>
      </c>
    </row>
    <row r="305" customFormat="false" ht="15" hidden="false" customHeight="false" outlineLevel="0" collapsed="false">
      <c r="A305" s="20" t="s">
        <v>985</v>
      </c>
      <c r="B305" s="23" t="n">
        <v>45801</v>
      </c>
      <c r="C305" s="20" t="n">
        <f aca="false">MONTH(B305)</f>
        <v>5</v>
      </c>
      <c r="D305" s="20" t="s">
        <v>486</v>
      </c>
      <c r="E305" s="20" t="s">
        <v>47</v>
      </c>
      <c r="F305" s="20" t="s">
        <v>54</v>
      </c>
      <c r="G305" s="20" t="s">
        <v>55</v>
      </c>
      <c r="H305" s="20" t="n">
        <v>2</v>
      </c>
      <c r="I305" s="24" t="n">
        <v>38</v>
      </c>
      <c r="J305" s="24" t="n">
        <v>16</v>
      </c>
      <c r="K305" s="24" t="n">
        <f aca="false">H305*I305</f>
        <v>76</v>
      </c>
      <c r="L305" s="24" t="n">
        <f aca="false">K305-H305*J305</f>
        <v>44</v>
      </c>
      <c r="M305" s="20" t="s">
        <v>50</v>
      </c>
    </row>
    <row r="306" customFormat="false" ht="15" hidden="false" customHeight="false" outlineLevel="0" collapsed="false">
      <c r="A306" s="20" t="s">
        <v>1683</v>
      </c>
      <c r="B306" s="23" t="n">
        <v>45802</v>
      </c>
      <c r="C306" s="20" t="n">
        <f aca="false">MONTH(B306)</f>
        <v>5</v>
      </c>
      <c r="D306" s="20" t="s">
        <v>332</v>
      </c>
      <c r="E306" s="20" t="s">
        <v>70</v>
      </c>
      <c r="F306" s="20" t="s">
        <v>54</v>
      </c>
      <c r="G306" s="20" t="s">
        <v>76</v>
      </c>
      <c r="H306" s="20" t="n">
        <v>1</v>
      </c>
      <c r="I306" s="24" t="n">
        <v>32</v>
      </c>
      <c r="J306" s="24" t="n">
        <v>13</v>
      </c>
      <c r="K306" s="24" t="n">
        <f aca="false">H306*I306</f>
        <v>32</v>
      </c>
      <c r="L306" s="24" t="n">
        <f aca="false">K306-H306*J306</f>
        <v>19</v>
      </c>
      <c r="M306" s="20" t="s">
        <v>50</v>
      </c>
    </row>
    <row r="307" customFormat="false" ht="15" hidden="false" customHeight="false" outlineLevel="0" collapsed="false">
      <c r="A307" s="20" t="s">
        <v>940</v>
      </c>
      <c r="B307" s="23" t="n">
        <v>45802</v>
      </c>
      <c r="C307" s="20" t="n">
        <f aca="false">MONTH(B307)</f>
        <v>5</v>
      </c>
      <c r="D307" s="20" t="s">
        <v>104</v>
      </c>
      <c r="E307" s="20" t="s">
        <v>47</v>
      </c>
      <c r="F307" s="20" t="s">
        <v>92</v>
      </c>
      <c r="G307" s="20" t="s">
        <v>196</v>
      </c>
      <c r="H307" s="20" t="n">
        <v>2</v>
      </c>
      <c r="I307" s="24" t="n">
        <v>89</v>
      </c>
      <c r="J307" s="24" t="n">
        <v>41</v>
      </c>
      <c r="K307" s="24" t="n">
        <f aca="false">H307*I307</f>
        <v>178</v>
      </c>
      <c r="L307" s="24" t="n">
        <f aca="false">K307-H307*J307</f>
        <v>96</v>
      </c>
      <c r="M307" s="20" t="s">
        <v>50</v>
      </c>
    </row>
    <row r="308" customFormat="false" ht="15" hidden="false" customHeight="false" outlineLevel="0" collapsed="false">
      <c r="A308" s="20" t="s">
        <v>395</v>
      </c>
      <c r="B308" s="23" t="n">
        <v>45802</v>
      </c>
      <c r="C308" s="20" t="n">
        <f aca="false">MONTH(B308)</f>
        <v>5</v>
      </c>
      <c r="D308" s="20" t="s">
        <v>397</v>
      </c>
      <c r="E308" s="20" t="s">
        <v>70</v>
      </c>
      <c r="F308" s="20" t="s">
        <v>48</v>
      </c>
      <c r="G308" s="20" t="s">
        <v>49</v>
      </c>
      <c r="H308" s="20" t="n">
        <v>2</v>
      </c>
      <c r="I308" s="24" t="n">
        <v>18</v>
      </c>
      <c r="J308" s="24" t="n">
        <v>5</v>
      </c>
      <c r="K308" s="24" t="n">
        <f aca="false">H308*I308</f>
        <v>36</v>
      </c>
      <c r="L308" s="24" t="n">
        <f aca="false">K308-H308*J308</f>
        <v>26</v>
      </c>
      <c r="M308" s="20" t="s">
        <v>112</v>
      </c>
    </row>
    <row r="309" customFormat="false" ht="15" hidden="false" customHeight="false" outlineLevel="0" collapsed="false">
      <c r="A309" s="20" t="s">
        <v>546</v>
      </c>
      <c r="B309" s="23" t="n">
        <v>45802</v>
      </c>
      <c r="C309" s="20" t="n">
        <f aca="false">MONTH(B309)</f>
        <v>5</v>
      </c>
      <c r="D309" s="20" t="s">
        <v>548</v>
      </c>
      <c r="E309" s="20" t="s">
        <v>47</v>
      </c>
      <c r="F309" s="20" t="s">
        <v>54</v>
      </c>
      <c r="G309" s="20" t="s">
        <v>76</v>
      </c>
      <c r="H309" s="20" t="n">
        <v>1</v>
      </c>
      <c r="I309" s="24" t="n">
        <v>32</v>
      </c>
      <c r="J309" s="24" t="n">
        <v>13</v>
      </c>
      <c r="K309" s="24" t="n">
        <f aca="false">H309*I309</f>
        <v>32</v>
      </c>
      <c r="L309" s="24" t="n">
        <f aca="false">K309-H309*J309</f>
        <v>19</v>
      </c>
      <c r="M309" s="20" t="s">
        <v>50</v>
      </c>
    </row>
    <row r="310" customFormat="false" ht="15" hidden="false" customHeight="false" outlineLevel="0" collapsed="false">
      <c r="A310" s="20" t="s">
        <v>857</v>
      </c>
      <c r="B310" s="23" t="n">
        <v>45803</v>
      </c>
      <c r="C310" s="20" t="n">
        <f aca="false">MONTH(B310)</f>
        <v>5</v>
      </c>
      <c r="D310" s="20" t="s">
        <v>323</v>
      </c>
      <c r="E310" s="20" t="s">
        <v>47</v>
      </c>
      <c r="F310" s="20" t="s">
        <v>110</v>
      </c>
      <c r="G310" s="20" t="s">
        <v>236</v>
      </c>
      <c r="H310" s="20" t="n">
        <v>2</v>
      </c>
      <c r="I310" s="24" t="n">
        <v>30</v>
      </c>
      <c r="J310" s="24" t="n">
        <v>11</v>
      </c>
      <c r="K310" s="24" t="n">
        <f aca="false">H310*I310</f>
        <v>60</v>
      </c>
      <c r="L310" s="24" t="n">
        <f aca="false">K310-H310*J310</f>
        <v>38</v>
      </c>
      <c r="M310" s="20" t="s">
        <v>50</v>
      </c>
    </row>
    <row r="311" customFormat="false" ht="15" hidden="false" customHeight="false" outlineLevel="0" collapsed="false">
      <c r="A311" s="20" t="s">
        <v>127</v>
      </c>
      <c r="B311" s="23" t="n">
        <v>45803</v>
      </c>
      <c r="C311" s="20" t="n">
        <f aca="false">MONTH(B311)</f>
        <v>5</v>
      </c>
      <c r="D311" s="20" t="s">
        <v>129</v>
      </c>
      <c r="E311" s="20" t="s">
        <v>59</v>
      </c>
      <c r="F311" s="20" t="s">
        <v>81</v>
      </c>
      <c r="G311" s="20" t="s">
        <v>67</v>
      </c>
      <c r="H311" s="20" t="n">
        <v>2</v>
      </c>
      <c r="I311" s="24" t="n">
        <v>45</v>
      </c>
      <c r="J311" s="24" t="n">
        <v>17</v>
      </c>
      <c r="K311" s="24" t="n">
        <f aca="false">H311*I311</f>
        <v>90</v>
      </c>
      <c r="L311" s="24" t="n">
        <f aca="false">K311-H311*J311</f>
        <v>56</v>
      </c>
      <c r="M311" s="20" t="s">
        <v>50</v>
      </c>
    </row>
    <row r="312" customFormat="false" ht="15" hidden="false" customHeight="false" outlineLevel="0" collapsed="false">
      <c r="A312" s="20" t="s">
        <v>423</v>
      </c>
      <c r="B312" s="23" t="n">
        <v>45803</v>
      </c>
      <c r="C312" s="20" t="n">
        <f aca="false">MONTH(B312)</f>
        <v>5</v>
      </c>
      <c r="D312" s="20" t="s">
        <v>424</v>
      </c>
      <c r="E312" s="20" t="s">
        <v>59</v>
      </c>
      <c r="F312" s="20" t="s">
        <v>48</v>
      </c>
      <c r="G312" s="20" t="s">
        <v>144</v>
      </c>
      <c r="H312" s="20" t="n">
        <v>1</v>
      </c>
      <c r="I312" s="24" t="n">
        <v>54</v>
      </c>
      <c r="J312" s="24" t="n">
        <v>24</v>
      </c>
      <c r="K312" s="24" t="n">
        <f aca="false">H312*I312</f>
        <v>54</v>
      </c>
      <c r="L312" s="24" t="n">
        <f aca="false">K312-H312*J312</f>
        <v>30</v>
      </c>
      <c r="M312" s="20" t="s">
        <v>50</v>
      </c>
    </row>
    <row r="313" customFormat="false" ht="15" hidden="false" customHeight="false" outlineLevel="0" collapsed="false">
      <c r="A313" s="20" t="s">
        <v>1060</v>
      </c>
      <c r="B313" s="23" t="n">
        <v>45803</v>
      </c>
      <c r="C313" s="20" t="n">
        <f aca="false">MONTH(B313)</f>
        <v>5</v>
      </c>
      <c r="D313" s="20" t="s">
        <v>139</v>
      </c>
      <c r="E313" s="20" t="s">
        <v>65</v>
      </c>
      <c r="F313" s="20" t="s">
        <v>54</v>
      </c>
      <c r="G313" s="20" t="s">
        <v>55</v>
      </c>
      <c r="H313" s="20" t="n">
        <v>1</v>
      </c>
      <c r="I313" s="24" t="n">
        <v>38</v>
      </c>
      <c r="J313" s="24" t="n">
        <v>16</v>
      </c>
      <c r="K313" s="24" t="n">
        <f aca="false">H313*I313</f>
        <v>38</v>
      </c>
      <c r="L313" s="24" t="n">
        <f aca="false">K313-H313*J313</f>
        <v>22</v>
      </c>
      <c r="M313" s="20" t="s">
        <v>50</v>
      </c>
    </row>
    <row r="314" customFormat="false" ht="15" hidden="false" customHeight="false" outlineLevel="0" collapsed="false">
      <c r="A314" s="20" t="s">
        <v>1313</v>
      </c>
      <c r="B314" s="23" t="n">
        <v>45804</v>
      </c>
      <c r="C314" s="20" t="n">
        <f aca="false">MONTH(B314)</f>
        <v>5</v>
      </c>
      <c r="D314" s="20" t="s">
        <v>826</v>
      </c>
      <c r="E314" s="20" t="s">
        <v>47</v>
      </c>
      <c r="F314" s="20" t="s">
        <v>92</v>
      </c>
      <c r="G314" s="20" t="s">
        <v>196</v>
      </c>
      <c r="H314" s="20" t="n">
        <v>3</v>
      </c>
      <c r="I314" s="24" t="n">
        <v>89</v>
      </c>
      <c r="J314" s="24" t="n">
        <v>41</v>
      </c>
      <c r="K314" s="24" t="n">
        <f aca="false">H314*I314</f>
        <v>267</v>
      </c>
      <c r="L314" s="24" t="n">
        <f aca="false">K314-H314*J314</f>
        <v>144</v>
      </c>
      <c r="M314" s="20" t="s">
        <v>50</v>
      </c>
    </row>
    <row r="315" customFormat="false" ht="15" hidden="false" customHeight="false" outlineLevel="0" collapsed="false">
      <c r="A315" s="20" t="s">
        <v>398</v>
      </c>
      <c r="B315" s="23" t="n">
        <v>45805</v>
      </c>
      <c r="C315" s="20" t="n">
        <f aca="false">MONTH(B315)</f>
        <v>5</v>
      </c>
      <c r="D315" s="20" t="s">
        <v>216</v>
      </c>
      <c r="E315" s="20" t="s">
        <v>109</v>
      </c>
      <c r="F315" s="20" t="s">
        <v>110</v>
      </c>
      <c r="G315" s="20" t="s">
        <v>111</v>
      </c>
      <c r="H315" s="20" t="n">
        <v>1</v>
      </c>
      <c r="I315" s="24" t="n">
        <v>16</v>
      </c>
      <c r="J315" s="24" t="n">
        <v>5</v>
      </c>
      <c r="K315" s="24" t="n">
        <f aca="false">H315*I315</f>
        <v>16</v>
      </c>
      <c r="L315" s="24" t="n">
        <f aca="false">K315-H315*J315</f>
        <v>11</v>
      </c>
      <c r="M315" s="20" t="s">
        <v>50</v>
      </c>
    </row>
    <row r="316" customFormat="false" ht="15" hidden="false" customHeight="false" outlineLevel="0" collapsed="false">
      <c r="A316" s="20" t="s">
        <v>941</v>
      </c>
      <c r="B316" s="23" t="n">
        <v>45809</v>
      </c>
      <c r="C316" s="20" t="n">
        <f aca="false">MONTH(B316)</f>
        <v>6</v>
      </c>
      <c r="D316" s="20" t="s">
        <v>108</v>
      </c>
      <c r="E316" s="20" t="s">
        <v>47</v>
      </c>
      <c r="F316" s="20" t="s">
        <v>81</v>
      </c>
      <c r="G316" s="20" t="s">
        <v>67</v>
      </c>
      <c r="H316" s="20" t="n">
        <v>1</v>
      </c>
      <c r="I316" s="24" t="n">
        <v>45</v>
      </c>
      <c r="J316" s="24" t="n">
        <v>17</v>
      </c>
      <c r="K316" s="24" t="n">
        <f aca="false">H316*I316</f>
        <v>45</v>
      </c>
      <c r="L316" s="24" t="n">
        <f aca="false">K316-H316*J316</f>
        <v>28</v>
      </c>
      <c r="M316" s="20" t="s">
        <v>50</v>
      </c>
    </row>
    <row r="317" customFormat="false" ht="15" hidden="false" customHeight="false" outlineLevel="0" collapsed="false">
      <c r="A317" s="20" t="s">
        <v>590</v>
      </c>
      <c r="B317" s="23" t="n">
        <v>45810</v>
      </c>
      <c r="C317" s="20" t="n">
        <f aca="false">MONTH(B317)</f>
        <v>6</v>
      </c>
      <c r="D317" s="20" t="s">
        <v>592</v>
      </c>
      <c r="E317" s="20" t="s">
        <v>47</v>
      </c>
      <c r="F317" s="20" t="s">
        <v>110</v>
      </c>
      <c r="G317" s="20" t="s">
        <v>121</v>
      </c>
      <c r="H317" s="20" t="n">
        <v>4</v>
      </c>
      <c r="I317" s="24" t="n">
        <v>21</v>
      </c>
      <c r="J317" s="24" t="n">
        <v>7</v>
      </c>
      <c r="K317" s="24" t="n">
        <f aca="false">H317*I317</f>
        <v>84</v>
      </c>
      <c r="L317" s="24" t="n">
        <f aca="false">K317-H317*J317</f>
        <v>56</v>
      </c>
      <c r="M317" s="20" t="s">
        <v>50</v>
      </c>
    </row>
    <row r="318" customFormat="false" ht="15" hidden="false" customHeight="false" outlineLevel="0" collapsed="false">
      <c r="A318" s="20" t="s">
        <v>1016</v>
      </c>
      <c r="B318" s="23" t="n">
        <v>45810</v>
      </c>
      <c r="C318" s="20" t="n">
        <f aca="false">MONTH(B318)</f>
        <v>6</v>
      </c>
      <c r="D318" s="20" t="s">
        <v>1018</v>
      </c>
      <c r="E318" s="20" t="s">
        <v>70</v>
      </c>
      <c r="F318" s="20" t="s">
        <v>110</v>
      </c>
      <c r="G318" s="20" t="s">
        <v>111</v>
      </c>
      <c r="H318" s="20" t="n">
        <v>1</v>
      </c>
      <c r="I318" s="24" t="n">
        <v>16</v>
      </c>
      <c r="J318" s="24" t="n">
        <v>5</v>
      </c>
      <c r="K318" s="24" t="n">
        <f aca="false">H318*I318</f>
        <v>16</v>
      </c>
      <c r="L318" s="24" t="n">
        <f aca="false">K318-H318*J318</f>
        <v>11</v>
      </c>
      <c r="M318" s="20" t="s">
        <v>50</v>
      </c>
    </row>
    <row r="319" customFormat="false" ht="15" hidden="false" customHeight="false" outlineLevel="0" collapsed="false">
      <c r="A319" s="20" t="s">
        <v>1394</v>
      </c>
      <c r="B319" s="23" t="n">
        <v>45810</v>
      </c>
      <c r="C319" s="20" t="n">
        <f aca="false">MONTH(B319)</f>
        <v>6</v>
      </c>
      <c r="D319" s="20" t="s">
        <v>214</v>
      </c>
      <c r="E319" s="20" t="s">
        <v>109</v>
      </c>
      <c r="F319" s="20" t="s">
        <v>48</v>
      </c>
      <c r="G319" s="20" t="s">
        <v>116</v>
      </c>
      <c r="H319" s="20" t="n">
        <v>3</v>
      </c>
      <c r="I319" s="24" t="n">
        <v>28</v>
      </c>
      <c r="J319" s="24" t="n">
        <v>9</v>
      </c>
      <c r="K319" s="24" t="n">
        <f aca="false">H319*I319</f>
        <v>84</v>
      </c>
      <c r="L319" s="24" t="n">
        <f aca="false">K319-H319*J319</f>
        <v>57</v>
      </c>
      <c r="M319" s="20" t="s">
        <v>50</v>
      </c>
    </row>
    <row r="320" customFormat="false" ht="15" hidden="false" customHeight="false" outlineLevel="0" collapsed="false">
      <c r="A320" s="20" t="s">
        <v>687</v>
      </c>
      <c r="B320" s="23" t="n">
        <v>45811</v>
      </c>
      <c r="C320" s="20" t="n">
        <f aca="false">MONTH(B320)</f>
        <v>6</v>
      </c>
      <c r="D320" s="20" t="s">
        <v>300</v>
      </c>
      <c r="E320" s="20" t="s">
        <v>70</v>
      </c>
      <c r="F320" s="20" t="s">
        <v>92</v>
      </c>
      <c r="G320" s="20" t="s">
        <v>196</v>
      </c>
      <c r="H320" s="20" t="n">
        <v>1</v>
      </c>
      <c r="I320" s="24" t="n">
        <v>89</v>
      </c>
      <c r="J320" s="24" t="n">
        <v>41</v>
      </c>
      <c r="K320" s="24" t="n">
        <f aca="false">H320*I320</f>
        <v>89</v>
      </c>
      <c r="L320" s="24" t="n">
        <f aca="false">K320-H320*J320</f>
        <v>48</v>
      </c>
      <c r="M320" s="20" t="s">
        <v>50</v>
      </c>
    </row>
    <row r="321" customFormat="false" ht="15" hidden="false" customHeight="false" outlineLevel="0" collapsed="false">
      <c r="A321" s="20" t="s">
        <v>1450</v>
      </c>
      <c r="B321" s="23" t="n">
        <v>45811</v>
      </c>
      <c r="C321" s="20" t="n">
        <f aca="false">MONTH(B321)</f>
        <v>6</v>
      </c>
      <c r="D321" s="20" t="s">
        <v>52</v>
      </c>
      <c r="E321" s="20" t="s">
        <v>70</v>
      </c>
      <c r="F321" s="20" t="s">
        <v>92</v>
      </c>
      <c r="G321" s="20" t="s">
        <v>93</v>
      </c>
      <c r="H321" s="20" t="n">
        <v>1</v>
      </c>
      <c r="I321" s="24" t="n">
        <v>15</v>
      </c>
      <c r="J321" s="24" t="n">
        <v>5</v>
      </c>
      <c r="K321" s="24" t="n">
        <f aca="false">H321*I321</f>
        <v>15</v>
      </c>
      <c r="L321" s="24" t="n">
        <f aca="false">K321-H321*J321</f>
        <v>10</v>
      </c>
      <c r="M321" s="20" t="s">
        <v>50</v>
      </c>
    </row>
    <row r="322" customFormat="false" ht="15" hidden="false" customHeight="false" outlineLevel="0" collapsed="false">
      <c r="A322" s="20" t="s">
        <v>781</v>
      </c>
      <c r="B322" s="23" t="n">
        <v>45811</v>
      </c>
      <c r="C322" s="20" t="n">
        <f aca="false">MONTH(B322)</f>
        <v>6</v>
      </c>
      <c r="D322" s="20" t="s">
        <v>100</v>
      </c>
      <c r="E322" s="20" t="s">
        <v>47</v>
      </c>
      <c r="F322" s="20" t="s">
        <v>110</v>
      </c>
      <c r="G322" s="20" t="s">
        <v>111</v>
      </c>
      <c r="H322" s="20" t="n">
        <v>1</v>
      </c>
      <c r="I322" s="24" t="n">
        <v>16</v>
      </c>
      <c r="J322" s="24" t="n">
        <v>5</v>
      </c>
      <c r="K322" s="24" t="n">
        <f aca="false">H322*I322</f>
        <v>16</v>
      </c>
      <c r="L322" s="24" t="n">
        <f aca="false">K322-H322*J322</f>
        <v>11</v>
      </c>
      <c r="M322" s="20" t="s">
        <v>50</v>
      </c>
    </row>
    <row r="323" customFormat="false" ht="15" hidden="false" customHeight="false" outlineLevel="0" collapsed="false">
      <c r="A323" s="20" t="s">
        <v>1437</v>
      </c>
      <c r="B323" s="23" t="n">
        <v>45812</v>
      </c>
      <c r="C323" s="20" t="n">
        <f aca="false">MONTH(B323)</f>
        <v>6</v>
      </c>
      <c r="D323" s="20" t="s">
        <v>1025</v>
      </c>
      <c r="E323" s="20" t="s">
        <v>47</v>
      </c>
      <c r="F323" s="20" t="s">
        <v>110</v>
      </c>
      <c r="G323" s="20" t="s">
        <v>236</v>
      </c>
      <c r="H323" s="20" t="n">
        <v>1</v>
      </c>
      <c r="I323" s="24" t="n">
        <v>30</v>
      </c>
      <c r="J323" s="24" t="n">
        <v>11</v>
      </c>
      <c r="K323" s="24" t="n">
        <f aca="false">H323*I323</f>
        <v>30</v>
      </c>
      <c r="L323" s="24" t="n">
        <f aca="false">K323-H323*J323</f>
        <v>19</v>
      </c>
      <c r="M323" s="20" t="s">
        <v>50</v>
      </c>
    </row>
    <row r="324" customFormat="false" ht="15" hidden="false" customHeight="false" outlineLevel="0" collapsed="false">
      <c r="A324" s="20" t="s">
        <v>1396</v>
      </c>
      <c r="B324" s="23" t="n">
        <v>45813</v>
      </c>
      <c r="C324" s="20" t="n">
        <f aca="false">MONTH(B324)</f>
        <v>6</v>
      </c>
      <c r="D324" s="20" t="s">
        <v>58</v>
      </c>
      <c r="E324" s="20" t="s">
        <v>47</v>
      </c>
      <c r="F324" s="20" t="s">
        <v>92</v>
      </c>
      <c r="G324" s="20" t="s">
        <v>93</v>
      </c>
      <c r="H324" s="20" t="n">
        <v>1</v>
      </c>
      <c r="I324" s="24" t="n">
        <v>15</v>
      </c>
      <c r="J324" s="24" t="n">
        <v>5</v>
      </c>
      <c r="K324" s="24" t="n">
        <f aca="false">H324*I324</f>
        <v>15</v>
      </c>
      <c r="L324" s="24" t="n">
        <f aca="false">K324-H324*J324</f>
        <v>10</v>
      </c>
      <c r="M324" s="20" t="s">
        <v>50</v>
      </c>
    </row>
    <row r="325" customFormat="false" ht="15" hidden="false" customHeight="false" outlineLevel="0" collapsed="false">
      <c r="A325" s="20" t="s">
        <v>928</v>
      </c>
      <c r="B325" s="23" t="n">
        <v>45813</v>
      </c>
      <c r="C325" s="20" t="n">
        <f aca="false">MONTH(B325)</f>
        <v>6</v>
      </c>
      <c r="D325" s="20" t="s">
        <v>166</v>
      </c>
      <c r="E325" s="20" t="s">
        <v>59</v>
      </c>
      <c r="F325" s="20" t="s">
        <v>54</v>
      </c>
      <c r="G325" s="20" t="s">
        <v>55</v>
      </c>
      <c r="H325" s="20" t="n">
        <v>1</v>
      </c>
      <c r="I325" s="24" t="n">
        <v>38</v>
      </c>
      <c r="J325" s="24" t="n">
        <v>16</v>
      </c>
      <c r="K325" s="24" t="n">
        <f aca="false">H325*I325</f>
        <v>38</v>
      </c>
      <c r="L325" s="24" t="n">
        <f aca="false">K325-H325*J325</f>
        <v>22</v>
      </c>
      <c r="M325" s="20" t="s">
        <v>50</v>
      </c>
    </row>
    <row r="326" customFormat="false" ht="15" hidden="false" customHeight="false" outlineLevel="0" collapsed="false">
      <c r="A326" s="20" t="s">
        <v>1472</v>
      </c>
      <c r="B326" s="23" t="n">
        <v>45813</v>
      </c>
      <c r="C326" s="20" t="n">
        <f aca="false">MONTH(B326)</f>
        <v>6</v>
      </c>
      <c r="D326" s="20" t="s">
        <v>323</v>
      </c>
      <c r="E326" s="20" t="s">
        <v>47</v>
      </c>
      <c r="F326" s="20" t="s">
        <v>48</v>
      </c>
      <c r="G326" s="20" t="s">
        <v>144</v>
      </c>
      <c r="H326" s="20" t="n">
        <v>1</v>
      </c>
      <c r="I326" s="24" t="n">
        <v>54</v>
      </c>
      <c r="J326" s="24" t="n">
        <v>24</v>
      </c>
      <c r="K326" s="24" t="n">
        <f aca="false">H326*I326</f>
        <v>54</v>
      </c>
      <c r="L326" s="24" t="n">
        <f aca="false">K326-H326*J326</f>
        <v>30</v>
      </c>
      <c r="M326" s="20" t="s">
        <v>50</v>
      </c>
    </row>
    <row r="327" customFormat="false" ht="15" hidden="false" customHeight="false" outlineLevel="0" collapsed="false">
      <c r="A327" s="20" t="s">
        <v>1282</v>
      </c>
      <c r="B327" s="23" t="n">
        <v>45814</v>
      </c>
      <c r="C327" s="20" t="n">
        <f aca="false">MONTH(B327)</f>
        <v>6</v>
      </c>
      <c r="D327" s="20" t="s">
        <v>380</v>
      </c>
      <c r="E327" s="20" t="s">
        <v>65</v>
      </c>
      <c r="F327" s="20" t="s">
        <v>54</v>
      </c>
      <c r="G327" s="20" t="s">
        <v>55</v>
      </c>
      <c r="H327" s="20" t="n">
        <v>1</v>
      </c>
      <c r="I327" s="24" t="n">
        <v>38</v>
      </c>
      <c r="J327" s="24" t="n">
        <v>16</v>
      </c>
      <c r="K327" s="24" t="n">
        <f aca="false">H327*I327</f>
        <v>38</v>
      </c>
      <c r="L327" s="24" t="n">
        <f aca="false">K327-H327*J327</f>
        <v>22</v>
      </c>
      <c r="M327" s="20" t="s">
        <v>50</v>
      </c>
    </row>
    <row r="328" customFormat="false" ht="15" hidden="false" customHeight="false" outlineLevel="0" collapsed="false">
      <c r="A328" s="20" t="s">
        <v>1483</v>
      </c>
      <c r="B328" s="23" t="n">
        <v>45815</v>
      </c>
      <c r="C328" s="20" t="n">
        <f aca="false">MONTH(B328)</f>
        <v>6</v>
      </c>
      <c r="D328" s="20" t="s">
        <v>143</v>
      </c>
      <c r="E328" s="20" t="s">
        <v>47</v>
      </c>
      <c r="F328" s="20" t="s">
        <v>48</v>
      </c>
      <c r="G328" s="20" t="s">
        <v>144</v>
      </c>
      <c r="H328" s="20" t="n">
        <v>1</v>
      </c>
      <c r="I328" s="24" t="n">
        <v>54</v>
      </c>
      <c r="J328" s="24" t="n">
        <v>24</v>
      </c>
      <c r="K328" s="24" t="n">
        <f aca="false">H328*I328</f>
        <v>54</v>
      </c>
      <c r="L328" s="24" t="n">
        <f aca="false">K328-H328*J328</f>
        <v>30</v>
      </c>
      <c r="M328" s="20" t="s">
        <v>50</v>
      </c>
    </row>
    <row r="329" customFormat="false" ht="15" hidden="false" customHeight="false" outlineLevel="0" collapsed="false">
      <c r="A329" s="20" t="s">
        <v>968</v>
      </c>
      <c r="B329" s="23" t="n">
        <v>45815</v>
      </c>
      <c r="C329" s="20" t="n">
        <f aca="false">MONTH(B329)</f>
        <v>6</v>
      </c>
      <c r="D329" s="20" t="s">
        <v>431</v>
      </c>
      <c r="E329" s="20" t="s">
        <v>47</v>
      </c>
      <c r="F329" s="20" t="s">
        <v>54</v>
      </c>
      <c r="G329" s="20" t="s">
        <v>76</v>
      </c>
      <c r="H329" s="20" t="n">
        <v>3</v>
      </c>
      <c r="I329" s="24" t="n">
        <v>32</v>
      </c>
      <c r="J329" s="24" t="n">
        <v>13</v>
      </c>
      <c r="K329" s="24" t="n">
        <f aca="false">H329*I329</f>
        <v>96</v>
      </c>
      <c r="L329" s="24" t="n">
        <f aca="false">K329-H329*J329</f>
        <v>57</v>
      </c>
      <c r="M329" s="20" t="s">
        <v>50</v>
      </c>
    </row>
    <row r="330" customFormat="false" ht="15" hidden="false" customHeight="false" outlineLevel="0" collapsed="false">
      <c r="A330" s="20" t="s">
        <v>1369</v>
      </c>
      <c r="B330" s="23" t="n">
        <v>45816</v>
      </c>
      <c r="C330" s="20" t="n">
        <f aca="false">MONTH(B330)</f>
        <v>6</v>
      </c>
      <c r="D330" s="20" t="s">
        <v>143</v>
      </c>
      <c r="E330" s="20" t="s">
        <v>59</v>
      </c>
      <c r="F330" s="20" t="s">
        <v>48</v>
      </c>
      <c r="G330" s="20" t="s">
        <v>144</v>
      </c>
      <c r="H330" s="20" t="n">
        <v>1</v>
      </c>
      <c r="I330" s="24" t="n">
        <v>54</v>
      </c>
      <c r="J330" s="24" t="n">
        <v>24</v>
      </c>
      <c r="K330" s="24" t="n">
        <f aca="false">H330*I330</f>
        <v>54</v>
      </c>
      <c r="L330" s="24" t="n">
        <f aca="false">K330-H330*J330</f>
        <v>30</v>
      </c>
      <c r="M330" s="20" t="s">
        <v>50</v>
      </c>
    </row>
    <row r="331" customFormat="false" ht="15" hidden="false" customHeight="false" outlineLevel="0" collapsed="false">
      <c r="A331" s="20" t="s">
        <v>1268</v>
      </c>
      <c r="B331" s="23" t="n">
        <v>45816</v>
      </c>
      <c r="C331" s="20" t="n">
        <f aca="false">MONTH(B331)</f>
        <v>6</v>
      </c>
      <c r="D331" s="20" t="s">
        <v>442</v>
      </c>
      <c r="E331" s="20" t="s">
        <v>59</v>
      </c>
      <c r="F331" s="20" t="s">
        <v>81</v>
      </c>
      <c r="G331" s="20" t="s">
        <v>61</v>
      </c>
      <c r="H331" s="20" t="n">
        <v>3</v>
      </c>
      <c r="I331" s="24" t="n">
        <v>35</v>
      </c>
      <c r="J331" s="24" t="n">
        <v>12</v>
      </c>
      <c r="K331" s="24" t="n">
        <f aca="false">H331*I331</f>
        <v>105</v>
      </c>
      <c r="L331" s="24" t="n">
        <f aca="false">K331-H331*J331</f>
        <v>69</v>
      </c>
      <c r="M331" s="20" t="s">
        <v>50</v>
      </c>
    </row>
    <row r="332" customFormat="false" ht="15" hidden="false" customHeight="false" outlineLevel="0" collapsed="false">
      <c r="A332" s="20" t="s">
        <v>932</v>
      </c>
      <c r="B332" s="23" t="n">
        <v>45816</v>
      </c>
      <c r="C332" s="20" t="n">
        <f aca="false">MONTH(B332)</f>
        <v>6</v>
      </c>
      <c r="D332" s="20" t="s">
        <v>447</v>
      </c>
      <c r="E332" s="20" t="s">
        <v>70</v>
      </c>
      <c r="F332" s="20" t="s">
        <v>81</v>
      </c>
      <c r="G332" s="20" t="s">
        <v>82</v>
      </c>
      <c r="H332" s="20" t="n">
        <v>2</v>
      </c>
      <c r="I332" s="24" t="n">
        <v>22</v>
      </c>
      <c r="J332" s="24" t="n">
        <v>8</v>
      </c>
      <c r="K332" s="24" t="n">
        <f aca="false">H332*I332</f>
        <v>44</v>
      </c>
      <c r="L332" s="24" t="n">
        <f aca="false">K332-H332*J332</f>
        <v>28</v>
      </c>
      <c r="M332" s="20" t="s">
        <v>50</v>
      </c>
    </row>
    <row r="333" customFormat="false" ht="15" hidden="false" customHeight="false" outlineLevel="0" collapsed="false">
      <c r="A333" s="20" t="s">
        <v>655</v>
      </c>
      <c r="B333" s="23" t="n">
        <v>45817</v>
      </c>
      <c r="C333" s="20" t="n">
        <f aca="false">MONTH(B333)</f>
        <v>6</v>
      </c>
      <c r="D333" s="20" t="s">
        <v>278</v>
      </c>
      <c r="E333" s="20" t="s">
        <v>70</v>
      </c>
      <c r="F333" s="20" t="s">
        <v>81</v>
      </c>
      <c r="G333" s="20" t="s">
        <v>61</v>
      </c>
      <c r="H333" s="20" t="n">
        <v>1</v>
      </c>
      <c r="I333" s="24" t="n">
        <v>35</v>
      </c>
      <c r="J333" s="24" t="n">
        <v>12</v>
      </c>
      <c r="K333" s="24" t="n">
        <f aca="false">H333*I333</f>
        <v>35</v>
      </c>
      <c r="L333" s="24" t="n">
        <f aca="false">K333-H333*J333</f>
        <v>23</v>
      </c>
      <c r="M333" s="20" t="s">
        <v>50</v>
      </c>
    </row>
    <row r="334" customFormat="false" ht="15" hidden="false" customHeight="false" outlineLevel="0" collapsed="false">
      <c r="A334" s="20" t="s">
        <v>884</v>
      </c>
      <c r="B334" s="23" t="n">
        <v>45818</v>
      </c>
      <c r="C334" s="20" t="n">
        <f aca="false">MONTH(B334)</f>
        <v>6</v>
      </c>
      <c r="D334" s="20" t="s">
        <v>150</v>
      </c>
      <c r="E334" s="20" t="s">
        <v>70</v>
      </c>
      <c r="F334" s="20" t="s">
        <v>92</v>
      </c>
      <c r="G334" s="20" t="s">
        <v>105</v>
      </c>
      <c r="H334" s="20" t="n">
        <v>2</v>
      </c>
      <c r="I334" s="24" t="n">
        <v>49</v>
      </c>
      <c r="J334" s="24" t="n">
        <v>22</v>
      </c>
      <c r="K334" s="24" t="n">
        <f aca="false">H334*I334</f>
        <v>98</v>
      </c>
      <c r="L334" s="24" t="n">
        <f aca="false">K334-H334*J334</f>
        <v>54</v>
      </c>
      <c r="M334" s="20" t="s">
        <v>50</v>
      </c>
    </row>
    <row r="335" customFormat="false" ht="15" hidden="false" customHeight="false" outlineLevel="0" collapsed="false">
      <c r="A335" s="20" t="s">
        <v>1461</v>
      </c>
      <c r="B335" s="23" t="n">
        <v>45818</v>
      </c>
      <c r="C335" s="20" t="n">
        <f aca="false">MONTH(B335)</f>
        <v>6</v>
      </c>
      <c r="D335" s="20" t="s">
        <v>91</v>
      </c>
      <c r="E335" s="20" t="s">
        <v>47</v>
      </c>
      <c r="F335" s="20" t="s">
        <v>54</v>
      </c>
      <c r="G335" s="20" t="s">
        <v>72</v>
      </c>
      <c r="H335" s="20" t="n">
        <v>4</v>
      </c>
      <c r="I335" s="24" t="n">
        <v>24</v>
      </c>
      <c r="J335" s="24" t="n">
        <v>9</v>
      </c>
      <c r="K335" s="24" t="n">
        <f aca="false">H335*I335</f>
        <v>96</v>
      </c>
      <c r="L335" s="24" t="n">
        <f aca="false">K335-H335*J335</f>
        <v>60</v>
      </c>
      <c r="M335" s="20" t="s">
        <v>50</v>
      </c>
    </row>
    <row r="336" customFormat="false" ht="15" hidden="false" customHeight="false" outlineLevel="0" collapsed="false">
      <c r="A336" s="20" t="s">
        <v>1418</v>
      </c>
      <c r="B336" s="23" t="n">
        <v>45818</v>
      </c>
      <c r="C336" s="20" t="n">
        <f aca="false">MONTH(B336)</f>
        <v>6</v>
      </c>
      <c r="D336" s="20" t="s">
        <v>522</v>
      </c>
      <c r="E336" s="20" t="s">
        <v>70</v>
      </c>
      <c r="F336" s="20" t="s">
        <v>81</v>
      </c>
      <c r="G336" s="20" t="s">
        <v>82</v>
      </c>
      <c r="H336" s="20" t="n">
        <v>1</v>
      </c>
      <c r="I336" s="24" t="n">
        <v>22</v>
      </c>
      <c r="J336" s="24" t="n">
        <v>8</v>
      </c>
      <c r="K336" s="24" t="n">
        <f aca="false">H336*I336</f>
        <v>22</v>
      </c>
      <c r="L336" s="24" t="n">
        <f aca="false">K336-H336*J336</f>
        <v>14</v>
      </c>
      <c r="M336" s="20" t="s">
        <v>50</v>
      </c>
    </row>
    <row r="337" customFormat="false" ht="15" hidden="false" customHeight="false" outlineLevel="0" collapsed="false">
      <c r="A337" s="20" t="s">
        <v>945</v>
      </c>
      <c r="B337" s="23" t="n">
        <v>45818</v>
      </c>
      <c r="C337" s="20" t="n">
        <f aca="false">MONTH(B337)</f>
        <v>6</v>
      </c>
      <c r="D337" s="20" t="s">
        <v>437</v>
      </c>
      <c r="E337" s="20" t="s">
        <v>59</v>
      </c>
      <c r="F337" s="20" t="s">
        <v>54</v>
      </c>
      <c r="G337" s="20" t="s">
        <v>72</v>
      </c>
      <c r="H337" s="20" t="n">
        <v>3</v>
      </c>
      <c r="I337" s="24" t="n">
        <v>24</v>
      </c>
      <c r="J337" s="24" t="n">
        <v>9</v>
      </c>
      <c r="K337" s="24" t="n">
        <f aca="false">H337*I337</f>
        <v>72</v>
      </c>
      <c r="L337" s="24" t="n">
        <f aca="false">K337-H337*J337</f>
        <v>45</v>
      </c>
      <c r="M337" s="20" t="s">
        <v>50</v>
      </c>
    </row>
    <row r="338" customFormat="false" ht="15" hidden="false" customHeight="false" outlineLevel="0" collapsed="false">
      <c r="A338" s="20" t="s">
        <v>1348</v>
      </c>
      <c r="B338" s="23" t="n">
        <v>45818</v>
      </c>
      <c r="C338" s="20" t="n">
        <f aca="false">MONTH(B338)</f>
        <v>6</v>
      </c>
      <c r="D338" s="20" t="s">
        <v>486</v>
      </c>
      <c r="E338" s="20" t="s">
        <v>70</v>
      </c>
      <c r="F338" s="20" t="s">
        <v>48</v>
      </c>
      <c r="G338" s="20" t="s">
        <v>144</v>
      </c>
      <c r="H338" s="20" t="n">
        <v>1</v>
      </c>
      <c r="I338" s="24" t="n">
        <v>54</v>
      </c>
      <c r="J338" s="24" t="n">
        <v>24</v>
      </c>
      <c r="K338" s="24" t="n">
        <f aca="false">H338*I338</f>
        <v>54</v>
      </c>
      <c r="L338" s="24" t="n">
        <f aca="false">K338-H338*J338</f>
        <v>30</v>
      </c>
      <c r="M338" s="20" t="s">
        <v>50</v>
      </c>
    </row>
    <row r="339" customFormat="false" ht="15" hidden="false" customHeight="false" outlineLevel="0" collapsed="false">
      <c r="A339" s="20" t="s">
        <v>1291</v>
      </c>
      <c r="B339" s="23" t="n">
        <v>45818</v>
      </c>
      <c r="C339" s="20" t="n">
        <f aca="false">MONTH(B339)</f>
        <v>6</v>
      </c>
      <c r="D339" s="20" t="s">
        <v>675</v>
      </c>
      <c r="E339" s="20" t="s">
        <v>109</v>
      </c>
      <c r="F339" s="20" t="s">
        <v>54</v>
      </c>
      <c r="G339" s="20" t="s">
        <v>55</v>
      </c>
      <c r="H339" s="20" t="n">
        <v>1</v>
      </c>
      <c r="I339" s="24" t="n">
        <v>38</v>
      </c>
      <c r="J339" s="24" t="n">
        <v>16</v>
      </c>
      <c r="K339" s="24" t="n">
        <f aca="false">H339*I339</f>
        <v>38</v>
      </c>
      <c r="L339" s="24" t="n">
        <f aca="false">K339-H339*J339</f>
        <v>22</v>
      </c>
      <c r="M339" s="20" t="s">
        <v>50</v>
      </c>
    </row>
    <row r="340" customFormat="false" ht="15" hidden="false" customHeight="false" outlineLevel="0" collapsed="false">
      <c r="A340" s="20" t="s">
        <v>639</v>
      </c>
      <c r="B340" s="23" t="n">
        <v>45819</v>
      </c>
      <c r="C340" s="20" t="n">
        <f aca="false">MONTH(B340)</f>
        <v>6</v>
      </c>
      <c r="D340" s="20" t="s">
        <v>80</v>
      </c>
      <c r="E340" s="20" t="s">
        <v>47</v>
      </c>
      <c r="F340" s="20" t="s">
        <v>92</v>
      </c>
      <c r="G340" s="20" t="s">
        <v>93</v>
      </c>
      <c r="H340" s="20" t="n">
        <v>1</v>
      </c>
      <c r="I340" s="24" t="n">
        <v>15</v>
      </c>
      <c r="J340" s="24" t="n">
        <v>5</v>
      </c>
      <c r="K340" s="24" t="n">
        <f aca="false">H340*I340</f>
        <v>15</v>
      </c>
      <c r="L340" s="24" t="n">
        <f aca="false">K340-H340*J340</f>
        <v>10</v>
      </c>
      <c r="M340" s="20" t="s">
        <v>50</v>
      </c>
    </row>
    <row r="341" customFormat="false" ht="15" hidden="false" customHeight="false" outlineLevel="0" collapsed="false">
      <c r="A341" s="20" t="s">
        <v>1684</v>
      </c>
      <c r="B341" s="23" t="n">
        <v>45819</v>
      </c>
      <c r="C341" s="20" t="n">
        <f aca="false">MONTH(B341)</f>
        <v>6</v>
      </c>
      <c r="D341" s="20" t="s">
        <v>380</v>
      </c>
      <c r="E341" s="20" t="s">
        <v>59</v>
      </c>
      <c r="F341" s="20" t="s">
        <v>92</v>
      </c>
      <c r="G341" s="20" t="s">
        <v>196</v>
      </c>
      <c r="H341" s="20" t="n">
        <v>2</v>
      </c>
      <c r="I341" s="24" t="n">
        <v>89</v>
      </c>
      <c r="J341" s="24" t="n">
        <v>41</v>
      </c>
      <c r="K341" s="24" t="n">
        <f aca="false">H341*I341</f>
        <v>178</v>
      </c>
      <c r="L341" s="24" t="n">
        <f aca="false">K341-H341*J341</f>
        <v>96</v>
      </c>
      <c r="M341" s="20" t="s">
        <v>50</v>
      </c>
    </row>
    <row r="342" customFormat="false" ht="15" hidden="false" customHeight="false" outlineLevel="0" collapsed="false">
      <c r="A342" s="20" t="s">
        <v>1324</v>
      </c>
      <c r="B342" s="23" t="n">
        <v>45819</v>
      </c>
      <c r="C342" s="20" t="n">
        <f aca="false">MONTH(B342)</f>
        <v>6</v>
      </c>
      <c r="D342" s="20" t="s">
        <v>442</v>
      </c>
      <c r="E342" s="20" t="s">
        <v>59</v>
      </c>
      <c r="F342" s="20" t="s">
        <v>110</v>
      </c>
      <c r="G342" s="20" t="s">
        <v>236</v>
      </c>
      <c r="H342" s="20" t="n">
        <v>1</v>
      </c>
      <c r="I342" s="24" t="n">
        <v>30</v>
      </c>
      <c r="J342" s="24" t="n">
        <v>11</v>
      </c>
      <c r="K342" s="24" t="n">
        <f aca="false">H342*I342</f>
        <v>30</v>
      </c>
      <c r="L342" s="24" t="n">
        <f aca="false">K342-H342*J342</f>
        <v>19</v>
      </c>
      <c r="M342" s="20" t="s">
        <v>50</v>
      </c>
    </row>
    <row r="343" customFormat="false" ht="15" hidden="false" customHeight="false" outlineLevel="0" collapsed="false">
      <c r="A343" s="20" t="s">
        <v>1498</v>
      </c>
      <c r="B343" s="23" t="n">
        <v>45820</v>
      </c>
      <c r="C343" s="20" t="n">
        <f aca="false">MONTH(B343)</f>
        <v>6</v>
      </c>
      <c r="D343" s="20" t="s">
        <v>1136</v>
      </c>
      <c r="E343" s="20" t="s">
        <v>109</v>
      </c>
      <c r="F343" s="20" t="s">
        <v>81</v>
      </c>
      <c r="G343" s="20" t="s">
        <v>61</v>
      </c>
      <c r="H343" s="20" t="n">
        <v>1</v>
      </c>
      <c r="I343" s="24" t="n">
        <v>35</v>
      </c>
      <c r="J343" s="24" t="n">
        <v>12</v>
      </c>
      <c r="K343" s="24" t="n">
        <f aca="false">H343*I343</f>
        <v>35</v>
      </c>
      <c r="L343" s="24" t="n">
        <f aca="false">K343-H343*J343</f>
        <v>23</v>
      </c>
      <c r="M343" s="20" t="s">
        <v>50</v>
      </c>
    </row>
    <row r="344" customFormat="false" ht="15" hidden="false" customHeight="false" outlineLevel="0" collapsed="false">
      <c r="A344" s="20" t="s">
        <v>462</v>
      </c>
      <c r="B344" s="23" t="n">
        <v>45820</v>
      </c>
      <c r="C344" s="20" t="n">
        <f aca="false">MONTH(B344)</f>
        <v>6</v>
      </c>
      <c r="D344" s="20" t="s">
        <v>464</v>
      </c>
      <c r="E344" s="20" t="s">
        <v>47</v>
      </c>
      <c r="F344" s="20" t="s">
        <v>81</v>
      </c>
      <c r="G344" s="20" t="s">
        <v>61</v>
      </c>
      <c r="H344" s="20" t="n">
        <v>1</v>
      </c>
      <c r="I344" s="24" t="n">
        <v>35</v>
      </c>
      <c r="J344" s="24" t="n">
        <v>12</v>
      </c>
      <c r="K344" s="24" t="n">
        <f aca="false">H344*I344</f>
        <v>35</v>
      </c>
      <c r="L344" s="24" t="n">
        <f aca="false">K344-H344*J344</f>
        <v>23</v>
      </c>
      <c r="M344" s="20" t="s">
        <v>50</v>
      </c>
    </row>
    <row r="345" customFormat="false" ht="15" hidden="false" customHeight="false" outlineLevel="0" collapsed="false">
      <c r="A345" s="20" t="s">
        <v>1249</v>
      </c>
      <c r="B345" s="23" t="n">
        <v>45820</v>
      </c>
      <c r="C345" s="20" t="n">
        <f aca="false">MONTH(B345)</f>
        <v>6</v>
      </c>
      <c r="D345" s="20" t="s">
        <v>1001</v>
      </c>
      <c r="E345" s="20" t="s">
        <v>70</v>
      </c>
      <c r="F345" s="20" t="s">
        <v>81</v>
      </c>
      <c r="G345" s="20" t="s">
        <v>67</v>
      </c>
      <c r="H345" s="20" t="n">
        <v>2</v>
      </c>
      <c r="I345" s="24" t="n">
        <v>45</v>
      </c>
      <c r="J345" s="24" t="n">
        <v>17</v>
      </c>
      <c r="K345" s="24" t="n">
        <f aca="false">H345*I345</f>
        <v>90</v>
      </c>
      <c r="L345" s="24" t="n">
        <f aca="false">K345-H345*J345</f>
        <v>56</v>
      </c>
      <c r="M345" s="20" t="s">
        <v>50</v>
      </c>
    </row>
    <row r="346" customFormat="false" ht="15" hidden="false" customHeight="false" outlineLevel="0" collapsed="false">
      <c r="A346" s="20" t="s">
        <v>1330</v>
      </c>
      <c r="B346" s="23" t="n">
        <v>45820</v>
      </c>
      <c r="C346" s="20" t="n">
        <f aca="false">MONTH(B346)</f>
        <v>6</v>
      </c>
      <c r="D346" s="20" t="s">
        <v>86</v>
      </c>
      <c r="E346" s="20" t="s">
        <v>59</v>
      </c>
      <c r="F346" s="20" t="s">
        <v>81</v>
      </c>
      <c r="G346" s="20" t="s">
        <v>67</v>
      </c>
      <c r="H346" s="20" t="n">
        <v>1</v>
      </c>
      <c r="I346" s="24" t="n">
        <v>45</v>
      </c>
      <c r="J346" s="24" t="n">
        <v>17</v>
      </c>
      <c r="K346" s="24" t="n">
        <f aca="false">H346*I346</f>
        <v>45</v>
      </c>
      <c r="L346" s="24" t="n">
        <f aca="false">K346-H346*J346</f>
        <v>28</v>
      </c>
      <c r="M346" s="20" t="s">
        <v>50</v>
      </c>
    </row>
    <row r="347" customFormat="false" ht="15" hidden="false" customHeight="false" outlineLevel="0" collapsed="false">
      <c r="A347" s="20" t="s">
        <v>673</v>
      </c>
      <c r="B347" s="23" t="n">
        <v>45821</v>
      </c>
      <c r="C347" s="20" t="n">
        <f aca="false">MONTH(B347)</f>
        <v>6</v>
      </c>
      <c r="D347" s="20" t="s">
        <v>675</v>
      </c>
      <c r="E347" s="20" t="s">
        <v>47</v>
      </c>
      <c r="F347" s="20" t="s">
        <v>81</v>
      </c>
      <c r="G347" s="20" t="s">
        <v>82</v>
      </c>
      <c r="H347" s="20" t="n">
        <v>1</v>
      </c>
      <c r="I347" s="24" t="n">
        <v>22</v>
      </c>
      <c r="J347" s="24" t="n">
        <v>8</v>
      </c>
      <c r="K347" s="24" t="n">
        <f aca="false">H347*I347</f>
        <v>22</v>
      </c>
      <c r="L347" s="24" t="n">
        <f aca="false">K347-H347*J347</f>
        <v>14</v>
      </c>
      <c r="M347" s="20" t="s">
        <v>112</v>
      </c>
    </row>
    <row r="348" customFormat="false" ht="15" hidden="false" customHeight="false" outlineLevel="0" collapsed="false">
      <c r="A348" s="20" t="s">
        <v>846</v>
      </c>
      <c r="B348" s="23" t="n">
        <v>45821</v>
      </c>
      <c r="C348" s="20" t="n">
        <f aca="false">MONTH(B348)</f>
        <v>6</v>
      </c>
      <c r="D348" s="20" t="s">
        <v>570</v>
      </c>
      <c r="E348" s="20" t="s">
        <v>65</v>
      </c>
      <c r="F348" s="20" t="s">
        <v>81</v>
      </c>
      <c r="G348" s="20" t="s">
        <v>82</v>
      </c>
      <c r="H348" s="20" t="n">
        <v>1</v>
      </c>
      <c r="I348" s="24" t="n">
        <v>22</v>
      </c>
      <c r="J348" s="24" t="n">
        <v>8</v>
      </c>
      <c r="K348" s="24" t="n">
        <f aca="false">H348*I348</f>
        <v>22</v>
      </c>
      <c r="L348" s="24" t="n">
        <f aca="false">K348-H348*J348</f>
        <v>14</v>
      </c>
      <c r="M348" s="20" t="s">
        <v>50</v>
      </c>
    </row>
    <row r="349" customFormat="false" ht="15" hidden="false" customHeight="false" outlineLevel="0" collapsed="false">
      <c r="A349" s="20" t="s">
        <v>1561</v>
      </c>
      <c r="B349" s="23" t="n">
        <v>45822</v>
      </c>
      <c r="C349" s="20" t="n">
        <f aca="false">MONTH(B349)</f>
        <v>6</v>
      </c>
      <c r="D349" s="20" t="s">
        <v>258</v>
      </c>
      <c r="E349" s="20" t="s">
        <v>47</v>
      </c>
      <c r="F349" s="20" t="s">
        <v>110</v>
      </c>
      <c r="G349" s="20" t="s">
        <v>121</v>
      </c>
      <c r="H349" s="20" t="n">
        <v>4</v>
      </c>
      <c r="I349" s="24" t="n">
        <v>21</v>
      </c>
      <c r="J349" s="24" t="n">
        <v>7</v>
      </c>
      <c r="K349" s="24" t="n">
        <f aca="false">H349*I349</f>
        <v>84</v>
      </c>
      <c r="L349" s="24" t="n">
        <f aca="false">K349-H349*J349</f>
        <v>56</v>
      </c>
      <c r="M349" s="20" t="s">
        <v>50</v>
      </c>
    </row>
    <row r="350" customFormat="false" ht="15" hidden="false" customHeight="false" outlineLevel="0" collapsed="false">
      <c r="A350" s="20" t="s">
        <v>383</v>
      </c>
      <c r="B350" s="23" t="n">
        <v>45822</v>
      </c>
      <c r="C350" s="20" t="n">
        <f aca="false">MONTH(B350)</f>
        <v>6</v>
      </c>
      <c r="D350" s="20" t="s">
        <v>296</v>
      </c>
      <c r="E350" s="20" t="s">
        <v>47</v>
      </c>
      <c r="F350" s="20" t="s">
        <v>54</v>
      </c>
      <c r="G350" s="20" t="s">
        <v>55</v>
      </c>
      <c r="H350" s="20" t="n">
        <v>1</v>
      </c>
      <c r="I350" s="24" t="n">
        <v>38</v>
      </c>
      <c r="J350" s="24" t="n">
        <v>16</v>
      </c>
      <c r="K350" s="24" t="n">
        <f aca="false">H350*I350</f>
        <v>38</v>
      </c>
      <c r="L350" s="24" t="n">
        <f aca="false">K350-H350*J350</f>
        <v>22</v>
      </c>
      <c r="M350" s="20" t="s">
        <v>50</v>
      </c>
    </row>
    <row r="351" customFormat="false" ht="15" hidden="false" customHeight="false" outlineLevel="0" collapsed="false">
      <c r="A351" s="20" t="s">
        <v>1082</v>
      </c>
      <c r="B351" s="23" t="n">
        <v>45822</v>
      </c>
      <c r="C351" s="20" t="n">
        <f aca="false">MONTH(B351)</f>
        <v>6</v>
      </c>
      <c r="D351" s="20" t="s">
        <v>86</v>
      </c>
      <c r="E351" s="20" t="s">
        <v>47</v>
      </c>
      <c r="F351" s="20" t="s">
        <v>92</v>
      </c>
      <c r="G351" s="20" t="s">
        <v>196</v>
      </c>
      <c r="H351" s="20" t="n">
        <v>1</v>
      </c>
      <c r="I351" s="24" t="n">
        <v>89</v>
      </c>
      <c r="J351" s="24" t="n">
        <v>41</v>
      </c>
      <c r="K351" s="24" t="n">
        <f aca="false">H351*I351</f>
        <v>89</v>
      </c>
      <c r="L351" s="24" t="n">
        <f aca="false">K351-H351*J351</f>
        <v>48</v>
      </c>
      <c r="M351" s="20" t="s">
        <v>50</v>
      </c>
    </row>
    <row r="352" customFormat="false" ht="15" hidden="false" customHeight="false" outlineLevel="0" collapsed="false">
      <c r="A352" s="20" t="s">
        <v>1105</v>
      </c>
      <c r="B352" s="23" t="n">
        <v>45822</v>
      </c>
      <c r="C352" s="20" t="n">
        <f aca="false">MONTH(B352)</f>
        <v>6</v>
      </c>
      <c r="D352" s="20" t="s">
        <v>214</v>
      </c>
      <c r="E352" s="20" t="s">
        <v>109</v>
      </c>
      <c r="F352" s="20" t="s">
        <v>110</v>
      </c>
      <c r="G352" s="20" t="s">
        <v>121</v>
      </c>
      <c r="H352" s="20" t="n">
        <v>2</v>
      </c>
      <c r="I352" s="24" t="n">
        <v>21</v>
      </c>
      <c r="J352" s="24" t="n">
        <v>7</v>
      </c>
      <c r="K352" s="24" t="n">
        <f aca="false">H352*I352</f>
        <v>42</v>
      </c>
      <c r="L352" s="24" t="n">
        <f aca="false">K352-H352*J352</f>
        <v>28</v>
      </c>
      <c r="M352" s="20" t="s">
        <v>50</v>
      </c>
    </row>
    <row r="353" customFormat="false" ht="15" hidden="false" customHeight="false" outlineLevel="0" collapsed="false">
      <c r="A353" s="20" t="s">
        <v>757</v>
      </c>
      <c r="B353" s="23" t="n">
        <v>45823</v>
      </c>
      <c r="C353" s="20" t="n">
        <f aca="false">MONTH(B353)</f>
        <v>6</v>
      </c>
      <c r="D353" s="20" t="s">
        <v>519</v>
      </c>
      <c r="E353" s="20" t="s">
        <v>47</v>
      </c>
      <c r="F353" s="20" t="s">
        <v>92</v>
      </c>
      <c r="G353" s="20" t="s">
        <v>105</v>
      </c>
      <c r="H353" s="20" t="n">
        <v>1</v>
      </c>
      <c r="I353" s="24" t="n">
        <v>49</v>
      </c>
      <c r="J353" s="24" t="n">
        <v>22</v>
      </c>
      <c r="K353" s="24" t="n">
        <f aca="false">H353*I353</f>
        <v>49</v>
      </c>
      <c r="L353" s="24" t="n">
        <f aca="false">K353-H353*J353</f>
        <v>27</v>
      </c>
      <c r="M353" s="20" t="s">
        <v>50</v>
      </c>
    </row>
    <row r="354" customFormat="false" ht="15" hidden="false" customHeight="false" outlineLevel="0" collapsed="false">
      <c r="A354" s="20" t="s">
        <v>683</v>
      </c>
      <c r="B354" s="23" t="n">
        <v>45823</v>
      </c>
      <c r="C354" s="20" t="n">
        <f aca="false">MONTH(B354)</f>
        <v>6</v>
      </c>
      <c r="D354" s="20" t="s">
        <v>100</v>
      </c>
      <c r="E354" s="20" t="s">
        <v>70</v>
      </c>
      <c r="F354" s="20" t="s">
        <v>92</v>
      </c>
      <c r="G354" s="20" t="s">
        <v>93</v>
      </c>
      <c r="H354" s="20" t="n">
        <v>2</v>
      </c>
      <c r="I354" s="24" t="n">
        <v>15</v>
      </c>
      <c r="J354" s="24" t="n">
        <v>5</v>
      </c>
      <c r="K354" s="24" t="n">
        <f aca="false">H354*I354</f>
        <v>30</v>
      </c>
      <c r="L354" s="24" t="n">
        <f aca="false">K354-H354*J354</f>
        <v>20</v>
      </c>
      <c r="M354" s="20" t="s">
        <v>50</v>
      </c>
    </row>
    <row r="355" customFormat="false" ht="15" hidden="false" customHeight="false" outlineLevel="0" collapsed="false">
      <c r="A355" s="20" t="s">
        <v>619</v>
      </c>
      <c r="B355" s="23" t="n">
        <v>45824</v>
      </c>
      <c r="C355" s="20" t="n">
        <f aca="false">MONTH(B355)</f>
        <v>6</v>
      </c>
      <c r="D355" s="20" t="s">
        <v>570</v>
      </c>
      <c r="E355" s="20" t="s">
        <v>47</v>
      </c>
      <c r="F355" s="20" t="s">
        <v>54</v>
      </c>
      <c r="G355" s="20" t="s">
        <v>72</v>
      </c>
      <c r="H355" s="20" t="n">
        <v>1</v>
      </c>
      <c r="I355" s="24" t="n">
        <v>24</v>
      </c>
      <c r="J355" s="24" t="n">
        <v>9</v>
      </c>
      <c r="K355" s="24" t="n">
        <f aca="false">H355*I355</f>
        <v>24</v>
      </c>
      <c r="L355" s="24" t="n">
        <f aca="false">K355-H355*J355</f>
        <v>15</v>
      </c>
      <c r="M355" s="20" t="s">
        <v>50</v>
      </c>
    </row>
    <row r="356" customFormat="false" ht="15" hidden="false" customHeight="false" outlineLevel="0" collapsed="false">
      <c r="A356" s="20" t="s">
        <v>393</v>
      </c>
      <c r="B356" s="23" t="n">
        <v>45824</v>
      </c>
      <c r="C356" s="20" t="n">
        <f aca="false">MONTH(B356)</f>
        <v>6</v>
      </c>
      <c r="D356" s="20" t="s">
        <v>192</v>
      </c>
      <c r="E356" s="20" t="s">
        <v>59</v>
      </c>
      <c r="F356" s="20" t="s">
        <v>48</v>
      </c>
      <c r="G356" s="20" t="s">
        <v>144</v>
      </c>
      <c r="H356" s="20" t="n">
        <v>1</v>
      </c>
      <c r="I356" s="24" t="n">
        <v>54</v>
      </c>
      <c r="J356" s="24" t="n">
        <v>24</v>
      </c>
      <c r="K356" s="24" t="n">
        <f aca="false">H356*I356</f>
        <v>54</v>
      </c>
      <c r="L356" s="24" t="n">
        <f aca="false">K356-H356*J356</f>
        <v>30</v>
      </c>
      <c r="M356" s="20" t="s">
        <v>50</v>
      </c>
    </row>
    <row r="357" customFormat="false" ht="15" hidden="false" customHeight="false" outlineLevel="0" collapsed="false">
      <c r="A357" s="20" t="s">
        <v>496</v>
      </c>
      <c r="B357" s="23" t="n">
        <v>45824</v>
      </c>
      <c r="C357" s="20" t="n">
        <f aca="false">MONTH(B357)</f>
        <v>6</v>
      </c>
      <c r="D357" s="20" t="s">
        <v>80</v>
      </c>
      <c r="E357" s="20" t="s">
        <v>59</v>
      </c>
      <c r="F357" s="20" t="s">
        <v>92</v>
      </c>
      <c r="G357" s="20" t="s">
        <v>93</v>
      </c>
      <c r="H357" s="20" t="n">
        <v>1</v>
      </c>
      <c r="I357" s="24" t="n">
        <v>15</v>
      </c>
      <c r="J357" s="24" t="n">
        <v>5</v>
      </c>
      <c r="K357" s="24" t="n">
        <f aca="false">H357*I357</f>
        <v>15</v>
      </c>
      <c r="L357" s="24" t="n">
        <f aca="false">K357-H357*J357</f>
        <v>10</v>
      </c>
      <c r="M357" s="20" t="s">
        <v>50</v>
      </c>
    </row>
    <row r="358" customFormat="false" ht="15" hidden="false" customHeight="false" outlineLevel="0" collapsed="false">
      <c r="A358" s="20" t="s">
        <v>1208</v>
      </c>
      <c r="B358" s="23" t="n">
        <v>45825</v>
      </c>
      <c r="C358" s="20" t="n">
        <f aca="false">MONTH(B358)</f>
        <v>6</v>
      </c>
      <c r="D358" s="20" t="s">
        <v>801</v>
      </c>
      <c r="E358" s="20" t="s">
        <v>70</v>
      </c>
      <c r="F358" s="20" t="s">
        <v>54</v>
      </c>
      <c r="G358" s="20" t="s">
        <v>55</v>
      </c>
      <c r="H358" s="20" t="n">
        <v>2</v>
      </c>
      <c r="I358" s="24" t="n">
        <v>38</v>
      </c>
      <c r="J358" s="24" t="n">
        <v>16</v>
      </c>
      <c r="K358" s="24" t="n">
        <f aca="false">H358*I358</f>
        <v>76</v>
      </c>
      <c r="L358" s="24" t="n">
        <f aca="false">K358-H358*J358</f>
        <v>44</v>
      </c>
      <c r="M358" s="20" t="s">
        <v>50</v>
      </c>
    </row>
    <row r="359" customFormat="false" ht="15" hidden="false" customHeight="false" outlineLevel="0" collapsed="false">
      <c r="A359" s="20" t="s">
        <v>711</v>
      </c>
      <c r="B359" s="23" t="n">
        <v>45825</v>
      </c>
      <c r="C359" s="20" t="n">
        <f aca="false">MONTH(B359)</f>
        <v>6</v>
      </c>
      <c r="D359" s="20" t="s">
        <v>119</v>
      </c>
      <c r="E359" s="20" t="s">
        <v>109</v>
      </c>
      <c r="F359" s="20" t="s">
        <v>92</v>
      </c>
      <c r="G359" s="20" t="s">
        <v>196</v>
      </c>
      <c r="H359" s="20" t="n">
        <v>1</v>
      </c>
      <c r="I359" s="24" t="n">
        <v>89</v>
      </c>
      <c r="J359" s="24" t="n">
        <v>41</v>
      </c>
      <c r="K359" s="24" t="n">
        <f aca="false">H359*I359</f>
        <v>89</v>
      </c>
      <c r="L359" s="24" t="n">
        <f aca="false">K359-H359*J359</f>
        <v>48</v>
      </c>
      <c r="M359" s="20" t="s">
        <v>50</v>
      </c>
    </row>
    <row r="360" customFormat="false" ht="15" hidden="false" customHeight="false" outlineLevel="0" collapsed="false">
      <c r="A360" s="20" t="s">
        <v>804</v>
      </c>
      <c r="B360" s="23" t="n">
        <v>45825</v>
      </c>
      <c r="C360" s="20" t="n">
        <f aca="false">MONTH(B360)</f>
        <v>6</v>
      </c>
      <c r="D360" s="20" t="s">
        <v>338</v>
      </c>
      <c r="E360" s="20" t="s">
        <v>65</v>
      </c>
      <c r="F360" s="20" t="s">
        <v>81</v>
      </c>
      <c r="G360" s="20" t="s">
        <v>82</v>
      </c>
      <c r="H360" s="20" t="n">
        <v>2</v>
      </c>
      <c r="I360" s="24" t="n">
        <v>22</v>
      </c>
      <c r="J360" s="24" t="n">
        <v>8</v>
      </c>
      <c r="K360" s="24" t="n">
        <f aca="false">H360*I360</f>
        <v>44</v>
      </c>
      <c r="L360" s="24" t="n">
        <f aca="false">K360-H360*J360</f>
        <v>28</v>
      </c>
      <c r="M360" s="20" t="s">
        <v>50</v>
      </c>
    </row>
    <row r="361" customFormat="false" ht="15" hidden="false" customHeight="false" outlineLevel="0" collapsed="false">
      <c r="A361" s="20" t="s">
        <v>44</v>
      </c>
      <c r="B361" s="23" t="n">
        <v>45825</v>
      </c>
      <c r="C361" s="20" t="n">
        <f aca="false">MONTH(B361)</f>
        <v>6</v>
      </c>
      <c r="D361" s="20" t="s">
        <v>46</v>
      </c>
      <c r="E361" s="20" t="s">
        <v>47</v>
      </c>
      <c r="F361" s="20" t="s">
        <v>48</v>
      </c>
      <c r="G361" s="20" t="s">
        <v>49</v>
      </c>
      <c r="H361" s="20" t="n">
        <v>2</v>
      </c>
      <c r="I361" s="24" t="n">
        <v>18</v>
      </c>
      <c r="J361" s="24" t="n">
        <v>5</v>
      </c>
      <c r="K361" s="24" t="n">
        <f aca="false">H361*I361</f>
        <v>36</v>
      </c>
      <c r="L361" s="24" t="n">
        <f aca="false">K361-H361*J361</f>
        <v>26</v>
      </c>
      <c r="M361" s="20" t="s">
        <v>50</v>
      </c>
    </row>
    <row r="362" customFormat="false" ht="15" hidden="false" customHeight="false" outlineLevel="0" collapsed="false">
      <c r="A362" s="20" t="s">
        <v>1080</v>
      </c>
      <c r="B362" s="23" t="n">
        <v>45825</v>
      </c>
      <c r="C362" s="20" t="n">
        <f aca="false">MONTH(B362)</f>
        <v>6</v>
      </c>
      <c r="D362" s="20" t="s">
        <v>192</v>
      </c>
      <c r="E362" s="20" t="s">
        <v>70</v>
      </c>
      <c r="F362" s="20" t="s">
        <v>54</v>
      </c>
      <c r="G362" s="20" t="s">
        <v>76</v>
      </c>
      <c r="H362" s="20" t="n">
        <v>1</v>
      </c>
      <c r="I362" s="24" t="n">
        <v>32</v>
      </c>
      <c r="J362" s="24" t="n">
        <v>13</v>
      </c>
      <c r="K362" s="24" t="n">
        <f aca="false">H362*I362</f>
        <v>32</v>
      </c>
      <c r="L362" s="24" t="n">
        <f aca="false">K362-H362*J362</f>
        <v>19</v>
      </c>
      <c r="M362" s="20" t="s">
        <v>50</v>
      </c>
    </row>
    <row r="363" customFormat="false" ht="15" hidden="false" customHeight="false" outlineLevel="0" collapsed="false">
      <c r="A363" s="20" t="s">
        <v>251</v>
      </c>
      <c r="B363" s="23" t="n">
        <v>45825</v>
      </c>
      <c r="C363" s="20" t="n">
        <f aca="false">MONTH(B363)</f>
        <v>6</v>
      </c>
      <c r="D363" s="20" t="s">
        <v>170</v>
      </c>
      <c r="E363" s="20" t="s">
        <v>109</v>
      </c>
      <c r="F363" s="20" t="s">
        <v>92</v>
      </c>
      <c r="G363" s="20" t="s">
        <v>196</v>
      </c>
      <c r="H363" s="20" t="n">
        <v>2</v>
      </c>
      <c r="I363" s="24" t="n">
        <v>89</v>
      </c>
      <c r="J363" s="24" t="n">
        <v>41</v>
      </c>
      <c r="K363" s="24" t="n">
        <f aca="false">H363*I363</f>
        <v>178</v>
      </c>
      <c r="L363" s="24" t="n">
        <f aca="false">K363-H363*J363</f>
        <v>96</v>
      </c>
      <c r="M363" s="20" t="s">
        <v>50</v>
      </c>
    </row>
    <row r="364" customFormat="false" ht="15" hidden="false" customHeight="false" outlineLevel="0" collapsed="false">
      <c r="A364" s="20" t="s">
        <v>558</v>
      </c>
      <c r="B364" s="23" t="n">
        <v>45826</v>
      </c>
      <c r="C364" s="20" t="n">
        <f aca="false">MONTH(B364)</f>
        <v>6</v>
      </c>
      <c r="D364" s="20" t="s">
        <v>338</v>
      </c>
      <c r="E364" s="20" t="s">
        <v>47</v>
      </c>
      <c r="F364" s="20" t="s">
        <v>54</v>
      </c>
      <c r="G364" s="20" t="s">
        <v>72</v>
      </c>
      <c r="H364" s="20" t="n">
        <v>1</v>
      </c>
      <c r="I364" s="24" t="n">
        <v>24</v>
      </c>
      <c r="J364" s="24" t="n">
        <v>9</v>
      </c>
      <c r="K364" s="24" t="n">
        <f aca="false">H364*I364</f>
        <v>24</v>
      </c>
      <c r="L364" s="24" t="n">
        <f aca="false">K364-H364*J364</f>
        <v>15</v>
      </c>
      <c r="M364" s="20" t="s">
        <v>50</v>
      </c>
    </row>
    <row r="365" customFormat="false" ht="15" hidden="false" customHeight="false" outlineLevel="0" collapsed="false">
      <c r="A365" s="20" t="s">
        <v>908</v>
      </c>
      <c r="B365" s="23" t="n">
        <v>45826</v>
      </c>
      <c r="C365" s="20" t="n">
        <f aca="false">MONTH(B365)</f>
        <v>6</v>
      </c>
      <c r="D365" s="20" t="s">
        <v>909</v>
      </c>
      <c r="E365" s="20" t="s">
        <v>70</v>
      </c>
      <c r="F365" s="20" t="s">
        <v>48</v>
      </c>
      <c r="G365" s="20" t="s">
        <v>49</v>
      </c>
      <c r="H365" s="20" t="n">
        <v>1</v>
      </c>
      <c r="I365" s="24" t="n">
        <v>18</v>
      </c>
      <c r="J365" s="24" t="n">
        <v>5</v>
      </c>
      <c r="K365" s="24" t="n">
        <f aca="false">H365*I365</f>
        <v>18</v>
      </c>
      <c r="L365" s="24" t="n">
        <f aca="false">K365-H365*J365</f>
        <v>13</v>
      </c>
      <c r="M365" s="20" t="s">
        <v>50</v>
      </c>
    </row>
    <row r="366" customFormat="false" ht="15" hidden="false" customHeight="false" outlineLevel="0" collapsed="false">
      <c r="A366" s="20" t="s">
        <v>988</v>
      </c>
      <c r="B366" s="23" t="n">
        <v>45826</v>
      </c>
      <c r="C366" s="20" t="n">
        <f aca="false">MONTH(B366)</f>
        <v>6</v>
      </c>
      <c r="D366" s="20" t="s">
        <v>476</v>
      </c>
      <c r="E366" s="20" t="s">
        <v>59</v>
      </c>
      <c r="F366" s="20" t="s">
        <v>110</v>
      </c>
      <c r="G366" s="20" t="s">
        <v>121</v>
      </c>
      <c r="H366" s="20" t="n">
        <v>2</v>
      </c>
      <c r="I366" s="24" t="n">
        <v>21</v>
      </c>
      <c r="J366" s="24" t="n">
        <v>7</v>
      </c>
      <c r="K366" s="24" t="n">
        <f aca="false">H366*I366</f>
        <v>42</v>
      </c>
      <c r="L366" s="24" t="n">
        <f aca="false">K366-H366*J366</f>
        <v>28</v>
      </c>
      <c r="M366" s="20" t="s">
        <v>50</v>
      </c>
    </row>
    <row r="367" customFormat="false" ht="15" hidden="false" customHeight="false" outlineLevel="0" collapsed="false">
      <c r="A367" s="20" t="s">
        <v>1051</v>
      </c>
      <c r="B367" s="23" t="n">
        <v>45826</v>
      </c>
      <c r="C367" s="20" t="n">
        <f aca="false">MONTH(B367)</f>
        <v>6</v>
      </c>
      <c r="D367" s="20" t="s">
        <v>428</v>
      </c>
      <c r="E367" s="20" t="s">
        <v>59</v>
      </c>
      <c r="F367" s="20" t="s">
        <v>54</v>
      </c>
      <c r="G367" s="20" t="s">
        <v>72</v>
      </c>
      <c r="H367" s="20" t="n">
        <v>1</v>
      </c>
      <c r="I367" s="24" t="n">
        <v>24</v>
      </c>
      <c r="J367" s="24" t="n">
        <v>9</v>
      </c>
      <c r="K367" s="24" t="n">
        <f aca="false">H367*I367</f>
        <v>24</v>
      </c>
      <c r="L367" s="24" t="n">
        <f aca="false">K367-H367*J367</f>
        <v>15</v>
      </c>
      <c r="M367" s="20" t="s">
        <v>50</v>
      </c>
    </row>
    <row r="368" customFormat="false" ht="15" hidden="false" customHeight="false" outlineLevel="0" collapsed="false">
      <c r="A368" s="20" t="s">
        <v>1084</v>
      </c>
      <c r="B368" s="23" t="n">
        <v>45826</v>
      </c>
      <c r="C368" s="20" t="n">
        <f aca="false">MONTH(B368)</f>
        <v>6</v>
      </c>
      <c r="D368" s="20" t="s">
        <v>189</v>
      </c>
      <c r="E368" s="20" t="s">
        <v>47</v>
      </c>
      <c r="F368" s="20" t="s">
        <v>92</v>
      </c>
      <c r="G368" s="20" t="s">
        <v>196</v>
      </c>
      <c r="H368" s="20" t="n">
        <v>1</v>
      </c>
      <c r="I368" s="24" t="n">
        <v>89</v>
      </c>
      <c r="J368" s="24" t="n">
        <v>41</v>
      </c>
      <c r="K368" s="24" t="n">
        <f aca="false">H368*I368</f>
        <v>89</v>
      </c>
      <c r="L368" s="24" t="n">
        <f aca="false">K368-H368*J368</f>
        <v>48</v>
      </c>
      <c r="M368" s="20" t="s">
        <v>50</v>
      </c>
    </row>
    <row r="369" customFormat="false" ht="15" hidden="false" customHeight="false" outlineLevel="0" collapsed="false">
      <c r="A369" s="20" t="s">
        <v>243</v>
      </c>
      <c r="B369" s="23" t="n">
        <v>45826</v>
      </c>
      <c r="C369" s="20" t="n">
        <f aca="false">MONTH(B369)</f>
        <v>6</v>
      </c>
      <c r="D369" s="20" t="s">
        <v>245</v>
      </c>
      <c r="E369" s="20" t="s">
        <v>47</v>
      </c>
      <c r="F369" s="20" t="s">
        <v>92</v>
      </c>
      <c r="G369" s="20" t="s">
        <v>93</v>
      </c>
      <c r="H369" s="20" t="n">
        <v>1</v>
      </c>
      <c r="I369" s="24" t="n">
        <v>15</v>
      </c>
      <c r="J369" s="24" t="n">
        <v>5</v>
      </c>
      <c r="K369" s="24" t="n">
        <f aca="false">H369*I369</f>
        <v>15</v>
      </c>
      <c r="L369" s="24" t="n">
        <f aca="false">K369-H369*J369</f>
        <v>10</v>
      </c>
      <c r="M369" s="20" t="s">
        <v>50</v>
      </c>
    </row>
    <row r="370" customFormat="false" ht="15" hidden="false" customHeight="false" outlineLevel="0" collapsed="false">
      <c r="A370" s="20" t="s">
        <v>1534</v>
      </c>
      <c r="B370" s="23" t="n">
        <v>45826</v>
      </c>
      <c r="C370" s="20" t="n">
        <f aca="false">MONTH(B370)</f>
        <v>6</v>
      </c>
      <c r="D370" s="20" t="s">
        <v>522</v>
      </c>
      <c r="E370" s="20" t="s">
        <v>47</v>
      </c>
      <c r="F370" s="20" t="s">
        <v>48</v>
      </c>
      <c r="G370" s="20" t="s">
        <v>144</v>
      </c>
      <c r="H370" s="20" t="n">
        <v>2</v>
      </c>
      <c r="I370" s="24" t="n">
        <v>54</v>
      </c>
      <c r="J370" s="24" t="n">
        <v>24</v>
      </c>
      <c r="K370" s="24" t="n">
        <f aca="false">H370*I370</f>
        <v>108</v>
      </c>
      <c r="L370" s="24" t="n">
        <f aca="false">K370-H370*J370</f>
        <v>60</v>
      </c>
      <c r="M370" s="20" t="s">
        <v>50</v>
      </c>
    </row>
    <row r="371" customFormat="false" ht="15" hidden="false" customHeight="false" outlineLevel="0" collapsed="false">
      <c r="A371" s="20" t="s">
        <v>358</v>
      </c>
      <c r="B371" s="23" t="n">
        <v>45827</v>
      </c>
      <c r="C371" s="20" t="n">
        <f aca="false">MONTH(B371)</f>
        <v>6</v>
      </c>
      <c r="D371" s="20" t="s">
        <v>186</v>
      </c>
      <c r="E371" s="20" t="s">
        <v>109</v>
      </c>
      <c r="F371" s="20" t="s">
        <v>54</v>
      </c>
      <c r="G371" s="20" t="s">
        <v>55</v>
      </c>
      <c r="H371" s="20" t="n">
        <v>3</v>
      </c>
      <c r="I371" s="24" t="n">
        <v>38</v>
      </c>
      <c r="J371" s="24" t="n">
        <v>16</v>
      </c>
      <c r="K371" s="24" t="n">
        <f aca="false">H371*I371</f>
        <v>114</v>
      </c>
      <c r="L371" s="24" t="n">
        <f aca="false">K371-H371*J371</f>
        <v>66</v>
      </c>
      <c r="M371" s="20" t="s">
        <v>50</v>
      </c>
    </row>
    <row r="372" customFormat="false" ht="15" hidden="false" customHeight="false" outlineLevel="0" collapsed="false">
      <c r="A372" s="20" t="s">
        <v>1331</v>
      </c>
      <c r="B372" s="23" t="n">
        <v>45827</v>
      </c>
      <c r="C372" s="20" t="n">
        <f aca="false">MONTH(B372)</f>
        <v>6</v>
      </c>
      <c r="D372" s="20" t="s">
        <v>174</v>
      </c>
      <c r="E372" s="20" t="s">
        <v>59</v>
      </c>
      <c r="F372" s="20" t="s">
        <v>54</v>
      </c>
      <c r="G372" s="20" t="s">
        <v>55</v>
      </c>
      <c r="H372" s="20" t="n">
        <v>1</v>
      </c>
      <c r="I372" s="24" t="n">
        <v>38</v>
      </c>
      <c r="J372" s="24" t="n">
        <v>16</v>
      </c>
      <c r="K372" s="24" t="n">
        <f aca="false">H372*I372</f>
        <v>38</v>
      </c>
      <c r="L372" s="24" t="n">
        <f aca="false">K372-H372*J372</f>
        <v>22</v>
      </c>
      <c r="M372" s="20" t="s">
        <v>50</v>
      </c>
    </row>
    <row r="373" customFormat="false" ht="15" hidden="false" customHeight="false" outlineLevel="0" collapsed="false">
      <c r="A373" s="20" t="s">
        <v>363</v>
      </c>
      <c r="B373" s="23" t="n">
        <v>45828</v>
      </c>
      <c r="C373" s="20" t="n">
        <f aca="false">MONTH(B373)</f>
        <v>6</v>
      </c>
      <c r="D373" s="20" t="s">
        <v>69</v>
      </c>
      <c r="E373" s="20" t="s">
        <v>70</v>
      </c>
      <c r="F373" s="20" t="s">
        <v>54</v>
      </c>
      <c r="G373" s="20" t="s">
        <v>55</v>
      </c>
      <c r="H373" s="20" t="n">
        <v>3</v>
      </c>
      <c r="I373" s="24" t="n">
        <v>38</v>
      </c>
      <c r="J373" s="24" t="n">
        <v>16</v>
      </c>
      <c r="K373" s="24" t="n">
        <f aca="false">H373*I373</f>
        <v>114</v>
      </c>
      <c r="L373" s="24" t="n">
        <f aca="false">K373-H373*J373</f>
        <v>66</v>
      </c>
      <c r="M373" s="20" t="s">
        <v>50</v>
      </c>
    </row>
    <row r="374" customFormat="false" ht="15" hidden="false" customHeight="false" outlineLevel="0" collapsed="false">
      <c r="A374" s="20" t="s">
        <v>1599</v>
      </c>
      <c r="B374" s="23" t="n">
        <v>45828</v>
      </c>
      <c r="C374" s="20" t="n">
        <f aca="false">MONTH(B374)</f>
        <v>6</v>
      </c>
      <c r="D374" s="20" t="s">
        <v>174</v>
      </c>
      <c r="E374" s="20" t="s">
        <v>47</v>
      </c>
      <c r="F374" s="20" t="s">
        <v>48</v>
      </c>
      <c r="G374" s="20" t="s">
        <v>116</v>
      </c>
      <c r="H374" s="20" t="n">
        <v>1</v>
      </c>
      <c r="I374" s="24" t="n">
        <v>28</v>
      </c>
      <c r="J374" s="24" t="n">
        <v>9</v>
      </c>
      <c r="K374" s="24" t="n">
        <f aca="false">H374*I374</f>
        <v>28</v>
      </c>
      <c r="L374" s="24" t="n">
        <f aca="false">K374-H374*J374</f>
        <v>19</v>
      </c>
      <c r="M374" s="20" t="s">
        <v>50</v>
      </c>
    </row>
    <row r="375" customFormat="false" ht="15" hidden="false" customHeight="false" outlineLevel="0" collapsed="false">
      <c r="A375" s="20" t="s">
        <v>1549</v>
      </c>
      <c r="B375" s="23" t="n">
        <v>45828</v>
      </c>
      <c r="C375" s="20" t="n">
        <f aca="false">MONTH(B375)</f>
        <v>6</v>
      </c>
      <c r="D375" s="20" t="s">
        <v>156</v>
      </c>
      <c r="E375" s="20" t="s">
        <v>47</v>
      </c>
      <c r="F375" s="20" t="s">
        <v>54</v>
      </c>
      <c r="G375" s="20" t="s">
        <v>72</v>
      </c>
      <c r="H375" s="20" t="n">
        <v>1</v>
      </c>
      <c r="I375" s="24" t="n">
        <v>24</v>
      </c>
      <c r="J375" s="24" t="n">
        <v>9</v>
      </c>
      <c r="K375" s="24" t="n">
        <f aca="false">H375*I375</f>
        <v>24</v>
      </c>
      <c r="L375" s="24" t="n">
        <f aca="false">K375-H375*J375</f>
        <v>15</v>
      </c>
      <c r="M375" s="20" t="s">
        <v>50</v>
      </c>
    </row>
    <row r="376" customFormat="false" ht="15" hidden="false" customHeight="false" outlineLevel="0" collapsed="false">
      <c r="A376" s="20" t="s">
        <v>691</v>
      </c>
      <c r="B376" s="23" t="n">
        <v>45828</v>
      </c>
      <c r="C376" s="20" t="n">
        <f aca="false">MONTH(B376)</f>
        <v>6</v>
      </c>
      <c r="D376" s="20" t="s">
        <v>139</v>
      </c>
      <c r="E376" s="20" t="s">
        <v>47</v>
      </c>
      <c r="F376" s="20" t="s">
        <v>48</v>
      </c>
      <c r="G376" s="20" t="s">
        <v>116</v>
      </c>
      <c r="H376" s="20" t="n">
        <v>1</v>
      </c>
      <c r="I376" s="24" t="n">
        <v>28</v>
      </c>
      <c r="J376" s="24" t="n">
        <v>9</v>
      </c>
      <c r="K376" s="24" t="n">
        <f aca="false">H376*I376</f>
        <v>28</v>
      </c>
      <c r="L376" s="24" t="n">
        <f aca="false">K376-H376*J376</f>
        <v>19</v>
      </c>
      <c r="M376" s="20" t="s">
        <v>50</v>
      </c>
    </row>
    <row r="377" customFormat="false" ht="15" hidden="false" customHeight="false" outlineLevel="0" collapsed="false">
      <c r="A377" s="20" t="s">
        <v>1546</v>
      </c>
      <c r="B377" s="23" t="n">
        <v>45829</v>
      </c>
      <c r="C377" s="20" t="n">
        <f aca="false">MONTH(B377)</f>
        <v>6</v>
      </c>
      <c r="D377" s="20" t="s">
        <v>147</v>
      </c>
      <c r="E377" s="20" t="s">
        <v>109</v>
      </c>
      <c r="F377" s="20" t="s">
        <v>110</v>
      </c>
      <c r="G377" s="20" t="s">
        <v>236</v>
      </c>
      <c r="H377" s="20" t="n">
        <v>2</v>
      </c>
      <c r="I377" s="24" t="n">
        <v>30</v>
      </c>
      <c r="J377" s="24" t="n">
        <v>11</v>
      </c>
      <c r="K377" s="24" t="n">
        <f aca="false">H377*I377</f>
        <v>60</v>
      </c>
      <c r="L377" s="24" t="n">
        <f aca="false">K377-H377*J377</f>
        <v>38</v>
      </c>
      <c r="M377" s="20" t="s">
        <v>50</v>
      </c>
    </row>
    <row r="378" customFormat="false" ht="15" hidden="false" customHeight="false" outlineLevel="0" collapsed="false">
      <c r="A378" s="20" t="s">
        <v>1618</v>
      </c>
      <c r="B378" s="23" t="n">
        <v>45830</v>
      </c>
      <c r="C378" s="20" t="n">
        <f aca="false">MONTH(B378)</f>
        <v>6</v>
      </c>
      <c r="D378" s="20" t="s">
        <v>318</v>
      </c>
      <c r="E378" s="20" t="s">
        <v>59</v>
      </c>
      <c r="F378" s="20" t="s">
        <v>54</v>
      </c>
      <c r="G378" s="20" t="s">
        <v>55</v>
      </c>
      <c r="H378" s="20" t="n">
        <v>1</v>
      </c>
      <c r="I378" s="24" t="n">
        <v>38</v>
      </c>
      <c r="J378" s="24" t="n">
        <v>16</v>
      </c>
      <c r="K378" s="24" t="n">
        <f aca="false">H378*I378</f>
        <v>38</v>
      </c>
      <c r="L378" s="24" t="n">
        <f aca="false">K378-H378*J378</f>
        <v>22</v>
      </c>
      <c r="M378" s="20" t="s">
        <v>50</v>
      </c>
    </row>
    <row r="379" customFormat="false" ht="15" hidden="false" customHeight="false" outlineLevel="0" collapsed="false">
      <c r="A379" s="20" t="s">
        <v>137</v>
      </c>
      <c r="B379" s="23" t="n">
        <v>45831</v>
      </c>
      <c r="C379" s="20" t="n">
        <f aca="false">MONTH(B379)</f>
        <v>6</v>
      </c>
      <c r="D379" s="20" t="s">
        <v>139</v>
      </c>
      <c r="E379" s="20" t="s">
        <v>70</v>
      </c>
      <c r="F379" s="20" t="s">
        <v>92</v>
      </c>
      <c r="G379" s="20" t="s">
        <v>105</v>
      </c>
      <c r="H379" s="20" t="n">
        <v>2</v>
      </c>
      <c r="I379" s="24" t="n">
        <v>49</v>
      </c>
      <c r="J379" s="24" t="n">
        <v>22</v>
      </c>
      <c r="K379" s="24" t="n">
        <f aca="false">H379*I379</f>
        <v>98</v>
      </c>
      <c r="L379" s="24" t="n">
        <f aca="false">K379-H379*J379</f>
        <v>54</v>
      </c>
      <c r="M379" s="20" t="s">
        <v>50</v>
      </c>
    </row>
    <row r="380" customFormat="false" ht="15" hidden="false" customHeight="false" outlineLevel="0" collapsed="false">
      <c r="A380" s="20" t="s">
        <v>729</v>
      </c>
      <c r="B380" s="23" t="n">
        <v>45831</v>
      </c>
      <c r="C380" s="20" t="n">
        <f aca="false">MONTH(B380)</f>
        <v>6</v>
      </c>
      <c r="D380" s="20" t="s">
        <v>104</v>
      </c>
      <c r="E380" s="20" t="s">
        <v>47</v>
      </c>
      <c r="F380" s="20" t="s">
        <v>48</v>
      </c>
      <c r="G380" s="20" t="s">
        <v>49</v>
      </c>
      <c r="H380" s="20" t="n">
        <v>1</v>
      </c>
      <c r="I380" s="24" t="n">
        <v>18</v>
      </c>
      <c r="J380" s="24" t="n">
        <v>5</v>
      </c>
      <c r="K380" s="24" t="n">
        <f aca="false">H380*I380</f>
        <v>18</v>
      </c>
      <c r="L380" s="24" t="n">
        <f aca="false">K380-H380*J380</f>
        <v>13</v>
      </c>
      <c r="M380" s="20" t="s">
        <v>50</v>
      </c>
    </row>
    <row r="381" customFormat="false" ht="15" hidden="false" customHeight="false" outlineLevel="0" collapsed="false">
      <c r="A381" s="20" t="s">
        <v>910</v>
      </c>
      <c r="B381" s="23" t="n">
        <v>45831</v>
      </c>
      <c r="C381" s="20" t="n">
        <f aca="false">MONTH(B381)</f>
        <v>6</v>
      </c>
      <c r="D381" s="20" t="s">
        <v>227</v>
      </c>
      <c r="E381" s="20" t="s">
        <v>47</v>
      </c>
      <c r="F381" s="20" t="s">
        <v>81</v>
      </c>
      <c r="G381" s="20" t="s">
        <v>82</v>
      </c>
      <c r="H381" s="20" t="n">
        <v>1</v>
      </c>
      <c r="I381" s="24" t="n">
        <v>22</v>
      </c>
      <c r="J381" s="24" t="n">
        <v>8</v>
      </c>
      <c r="K381" s="24" t="n">
        <f aca="false">H381*I381</f>
        <v>22</v>
      </c>
      <c r="L381" s="24" t="n">
        <f aca="false">K381-H381*J381</f>
        <v>14</v>
      </c>
      <c r="M381" s="20" t="s">
        <v>50</v>
      </c>
    </row>
    <row r="382" customFormat="false" ht="15" hidden="false" customHeight="false" outlineLevel="0" collapsed="false">
      <c r="A382" s="20" t="s">
        <v>1054</v>
      </c>
      <c r="B382" s="23" t="n">
        <v>45831</v>
      </c>
      <c r="C382" s="20" t="n">
        <f aca="false">MONTH(B382)</f>
        <v>6</v>
      </c>
      <c r="D382" s="20" t="s">
        <v>557</v>
      </c>
      <c r="E382" s="20" t="s">
        <v>65</v>
      </c>
      <c r="F382" s="20" t="s">
        <v>54</v>
      </c>
      <c r="G382" s="20" t="s">
        <v>76</v>
      </c>
      <c r="H382" s="20" t="n">
        <v>1</v>
      </c>
      <c r="I382" s="24" t="n">
        <v>32</v>
      </c>
      <c r="J382" s="24" t="n">
        <v>13</v>
      </c>
      <c r="K382" s="24" t="n">
        <f aca="false">H382*I382</f>
        <v>32</v>
      </c>
      <c r="L382" s="24" t="n">
        <f aca="false">K382-H382*J382</f>
        <v>19</v>
      </c>
      <c r="M382" s="20" t="s">
        <v>50</v>
      </c>
    </row>
    <row r="383" customFormat="false" ht="15" hidden="false" customHeight="false" outlineLevel="0" collapsed="false">
      <c r="A383" s="20" t="s">
        <v>1647</v>
      </c>
      <c r="B383" s="23" t="n">
        <v>45831</v>
      </c>
      <c r="C383" s="20" t="n">
        <f aca="false">MONTH(B383)</f>
        <v>6</v>
      </c>
      <c r="D383" s="20" t="s">
        <v>69</v>
      </c>
      <c r="E383" s="20" t="s">
        <v>65</v>
      </c>
      <c r="F383" s="20" t="s">
        <v>81</v>
      </c>
      <c r="G383" s="20" t="s">
        <v>67</v>
      </c>
      <c r="H383" s="20" t="n">
        <v>1</v>
      </c>
      <c r="I383" s="24" t="n">
        <v>45</v>
      </c>
      <c r="J383" s="24" t="n">
        <v>17</v>
      </c>
      <c r="K383" s="24" t="n">
        <f aca="false">H383*I383</f>
        <v>45</v>
      </c>
      <c r="L383" s="24" t="n">
        <f aca="false">K383-H383*J383</f>
        <v>28</v>
      </c>
      <c r="M383" s="20" t="s">
        <v>50</v>
      </c>
    </row>
    <row r="384" customFormat="false" ht="15" hidden="false" customHeight="false" outlineLevel="0" collapsed="false">
      <c r="A384" s="20" t="s">
        <v>833</v>
      </c>
      <c r="B384" s="23" t="n">
        <v>45831</v>
      </c>
      <c r="C384" s="20" t="n">
        <f aca="false">MONTH(B384)</f>
        <v>6</v>
      </c>
      <c r="D384" s="20" t="s">
        <v>690</v>
      </c>
      <c r="E384" s="20" t="s">
        <v>47</v>
      </c>
      <c r="F384" s="20" t="s">
        <v>92</v>
      </c>
      <c r="G384" s="20" t="s">
        <v>196</v>
      </c>
      <c r="H384" s="20" t="n">
        <v>4</v>
      </c>
      <c r="I384" s="24" t="n">
        <v>89</v>
      </c>
      <c r="J384" s="24" t="n">
        <v>41</v>
      </c>
      <c r="K384" s="24" t="n">
        <f aca="false">H384*I384</f>
        <v>356</v>
      </c>
      <c r="L384" s="24" t="n">
        <f aca="false">K384-H384*J384</f>
        <v>192</v>
      </c>
      <c r="M384" s="20" t="s">
        <v>50</v>
      </c>
    </row>
    <row r="385" customFormat="false" ht="15" hidden="false" customHeight="false" outlineLevel="0" collapsed="false">
      <c r="A385" s="20" t="s">
        <v>1615</v>
      </c>
      <c r="B385" s="23" t="n">
        <v>45832</v>
      </c>
      <c r="C385" s="20" t="n">
        <f aca="false">MONTH(B385)</f>
        <v>6</v>
      </c>
      <c r="D385" s="20" t="s">
        <v>925</v>
      </c>
      <c r="E385" s="20" t="s">
        <v>47</v>
      </c>
      <c r="F385" s="20" t="s">
        <v>92</v>
      </c>
      <c r="G385" s="20" t="s">
        <v>93</v>
      </c>
      <c r="H385" s="20" t="n">
        <v>2</v>
      </c>
      <c r="I385" s="24" t="n">
        <v>15</v>
      </c>
      <c r="J385" s="24" t="n">
        <v>5</v>
      </c>
      <c r="K385" s="24" t="n">
        <f aca="false">H385*I385</f>
        <v>30</v>
      </c>
      <c r="L385" s="24" t="n">
        <f aca="false">K385-H385*J385</f>
        <v>20</v>
      </c>
      <c r="M385" s="20" t="s">
        <v>50</v>
      </c>
    </row>
    <row r="386" customFormat="false" ht="15" hidden="false" customHeight="false" outlineLevel="0" collapsed="false">
      <c r="A386" s="20" t="s">
        <v>1078</v>
      </c>
      <c r="B386" s="23" t="n">
        <v>45833</v>
      </c>
      <c r="C386" s="20" t="n">
        <f aca="false">MONTH(B386)</f>
        <v>6</v>
      </c>
      <c r="D386" s="20" t="s">
        <v>1013</v>
      </c>
      <c r="E386" s="20" t="s">
        <v>59</v>
      </c>
      <c r="F386" s="20" t="s">
        <v>48</v>
      </c>
      <c r="G386" s="20" t="s">
        <v>144</v>
      </c>
      <c r="H386" s="20" t="n">
        <v>2</v>
      </c>
      <c r="I386" s="24" t="n">
        <v>54</v>
      </c>
      <c r="J386" s="24" t="n">
        <v>24</v>
      </c>
      <c r="K386" s="24" t="n">
        <f aca="false">H386*I386</f>
        <v>108</v>
      </c>
      <c r="L386" s="24" t="n">
        <f aca="false">K386-H386*J386</f>
        <v>60</v>
      </c>
      <c r="M386" s="20" t="s">
        <v>50</v>
      </c>
    </row>
    <row r="387" customFormat="false" ht="15" hidden="false" customHeight="false" outlineLevel="0" collapsed="false">
      <c r="A387" s="20" t="s">
        <v>827</v>
      </c>
      <c r="B387" s="23" t="n">
        <v>45834</v>
      </c>
      <c r="C387" s="20" t="n">
        <f aca="false">MONTH(B387)</f>
        <v>6</v>
      </c>
      <c r="D387" s="20" t="s">
        <v>166</v>
      </c>
      <c r="E387" s="20" t="s">
        <v>65</v>
      </c>
      <c r="F387" s="20" t="s">
        <v>110</v>
      </c>
      <c r="G387" s="20" t="s">
        <v>236</v>
      </c>
      <c r="H387" s="20" t="n">
        <v>1</v>
      </c>
      <c r="I387" s="24" t="n">
        <v>30</v>
      </c>
      <c r="J387" s="24" t="n">
        <v>11</v>
      </c>
      <c r="K387" s="24" t="n">
        <f aca="false">H387*I387</f>
        <v>30</v>
      </c>
      <c r="L387" s="24" t="n">
        <f aca="false">K387-H387*J387</f>
        <v>19</v>
      </c>
      <c r="M387" s="20" t="s">
        <v>50</v>
      </c>
    </row>
    <row r="388" customFormat="false" ht="15" hidden="false" customHeight="false" outlineLevel="0" collapsed="false">
      <c r="A388" s="20" t="s">
        <v>1300</v>
      </c>
      <c r="B388" s="23" t="n">
        <v>45834</v>
      </c>
      <c r="C388" s="20" t="n">
        <f aca="false">MONTH(B388)</f>
        <v>6</v>
      </c>
      <c r="D388" s="20" t="s">
        <v>108</v>
      </c>
      <c r="E388" s="20" t="s">
        <v>47</v>
      </c>
      <c r="F388" s="20" t="s">
        <v>81</v>
      </c>
      <c r="G388" s="20" t="s">
        <v>67</v>
      </c>
      <c r="H388" s="20" t="n">
        <v>1</v>
      </c>
      <c r="I388" s="24" t="n">
        <v>45</v>
      </c>
      <c r="J388" s="24" t="n">
        <v>17</v>
      </c>
      <c r="K388" s="24" t="n">
        <f aca="false">H388*I388</f>
        <v>45</v>
      </c>
      <c r="L388" s="24" t="n">
        <f aca="false">K388-H388*J388</f>
        <v>28</v>
      </c>
      <c r="M388" s="20" t="s">
        <v>50</v>
      </c>
    </row>
    <row r="389" customFormat="false" ht="15" hidden="false" customHeight="false" outlineLevel="0" collapsed="false">
      <c r="A389" s="20" t="s">
        <v>1628</v>
      </c>
      <c r="B389" s="23" t="n">
        <v>45835</v>
      </c>
      <c r="C389" s="20" t="n">
        <f aca="false">MONTH(B389)</f>
        <v>6</v>
      </c>
      <c r="D389" s="20" t="s">
        <v>64</v>
      </c>
      <c r="E389" s="20" t="s">
        <v>70</v>
      </c>
      <c r="F389" s="20" t="s">
        <v>54</v>
      </c>
      <c r="G389" s="20" t="s">
        <v>76</v>
      </c>
      <c r="H389" s="20" t="n">
        <v>1</v>
      </c>
      <c r="I389" s="24" t="n">
        <v>32</v>
      </c>
      <c r="J389" s="24" t="n">
        <v>13</v>
      </c>
      <c r="K389" s="24" t="n">
        <f aca="false">H389*I389</f>
        <v>32</v>
      </c>
      <c r="L389" s="24" t="n">
        <f aca="false">K389-H389*J389</f>
        <v>19</v>
      </c>
      <c r="M389" s="20" t="s">
        <v>50</v>
      </c>
    </row>
    <row r="390" customFormat="false" ht="15" hidden="false" customHeight="false" outlineLevel="0" collapsed="false">
      <c r="A390" s="20" t="s">
        <v>378</v>
      </c>
      <c r="B390" s="23" t="n">
        <v>45835</v>
      </c>
      <c r="C390" s="20" t="n">
        <f aca="false">MONTH(B390)</f>
        <v>6</v>
      </c>
      <c r="D390" s="20" t="s">
        <v>380</v>
      </c>
      <c r="E390" s="20" t="s">
        <v>65</v>
      </c>
      <c r="F390" s="20" t="s">
        <v>48</v>
      </c>
      <c r="G390" s="20" t="s">
        <v>49</v>
      </c>
      <c r="H390" s="20" t="n">
        <v>1</v>
      </c>
      <c r="I390" s="24" t="n">
        <v>18</v>
      </c>
      <c r="J390" s="24" t="n">
        <v>5</v>
      </c>
      <c r="K390" s="24" t="n">
        <f aca="false">H390*I390</f>
        <v>18</v>
      </c>
      <c r="L390" s="24" t="n">
        <f aca="false">K390-H390*J390</f>
        <v>13</v>
      </c>
      <c r="M390" s="20" t="s">
        <v>50</v>
      </c>
    </row>
    <row r="391" customFormat="false" ht="15" hidden="false" customHeight="false" outlineLevel="0" collapsed="false">
      <c r="A391" s="20" t="s">
        <v>877</v>
      </c>
      <c r="B391" s="23" t="n">
        <v>45835</v>
      </c>
      <c r="C391" s="20" t="n">
        <f aca="false">MONTH(B391)</f>
        <v>6</v>
      </c>
      <c r="D391" s="20" t="s">
        <v>348</v>
      </c>
      <c r="E391" s="20" t="s">
        <v>70</v>
      </c>
      <c r="F391" s="20" t="s">
        <v>110</v>
      </c>
      <c r="G391" s="20" t="s">
        <v>111</v>
      </c>
      <c r="H391" s="20" t="n">
        <v>3</v>
      </c>
      <c r="I391" s="24" t="n">
        <v>16</v>
      </c>
      <c r="J391" s="24" t="n">
        <v>5</v>
      </c>
      <c r="K391" s="24" t="n">
        <f aca="false">H391*I391</f>
        <v>48</v>
      </c>
      <c r="L391" s="24" t="n">
        <f aca="false">K391-H391*J391</f>
        <v>33</v>
      </c>
      <c r="M391" s="20" t="s">
        <v>50</v>
      </c>
    </row>
    <row r="392" customFormat="false" ht="15" hidden="false" customHeight="false" outlineLevel="0" collapsed="false">
      <c r="A392" s="20" t="s">
        <v>477</v>
      </c>
      <c r="B392" s="23" t="n">
        <v>45835</v>
      </c>
      <c r="C392" s="20" t="n">
        <f aca="false">MONTH(B392)</f>
        <v>6</v>
      </c>
      <c r="D392" s="20" t="s">
        <v>91</v>
      </c>
      <c r="E392" s="20" t="s">
        <v>70</v>
      </c>
      <c r="F392" s="20" t="s">
        <v>81</v>
      </c>
      <c r="G392" s="20" t="s">
        <v>82</v>
      </c>
      <c r="H392" s="20" t="n">
        <v>1</v>
      </c>
      <c r="I392" s="24" t="n">
        <v>22</v>
      </c>
      <c r="J392" s="24" t="n">
        <v>8</v>
      </c>
      <c r="K392" s="24" t="n">
        <f aca="false">H392*I392</f>
        <v>22</v>
      </c>
      <c r="L392" s="24" t="n">
        <f aca="false">K392-H392*J392</f>
        <v>14</v>
      </c>
      <c r="M392" s="20" t="s">
        <v>50</v>
      </c>
    </row>
    <row r="393" customFormat="false" ht="15" hidden="false" customHeight="false" outlineLevel="0" collapsed="false">
      <c r="A393" s="20" t="s">
        <v>327</v>
      </c>
      <c r="B393" s="23" t="n">
        <v>45836</v>
      </c>
      <c r="C393" s="20" t="n">
        <f aca="false">MONTH(B393)</f>
        <v>6</v>
      </c>
      <c r="D393" s="20" t="s">
        <v>318</v>
      </c>
      <c r="E393" s="20" t="s">
        <v>65</v>
      </c>
      <c r="F393" s="20" t="s">
        <v>110</v>
      </c>
      <c r="G393" s="20" t="s">
        <v>111</v>
      </c>
      <c r="H393" s="20" t="n">
        <v>2</v>
      </c>
      <c r="I393" s="24" t="n">
        <v>16</v>
      </c>
      <c r="J393" s="24" t="n">
        <v>5</v>
      </c>
      <c r="K393" s="24" t="n">
        <f aca="false">H393*I393</f>
        <v>32</v>
      </c>
      <c r="L393" s="24" t="n">
        <f aca="false">K393-H393*J393</f>
        <v>22</v>
      </c>
      <c r="M393" s="20" t="s">
        <v>50</v>
      </c>
    </row>
    <row r="394" customFormat="false" ht="15" hidden="false" customHeight="false" outlineLevel="0" collapsed="false">
      <c r="A394" s="20" t="s">
        <v>913</v>
      </c>
      <c r="B394" s="23" t="n">
        <v>45836</v>
      </c>
      <c r="C394" s="20" t="n">
        <f aca="false">MONTH(B394)</f>
        <v>6</v>
      </c>
      <c r="D394" s="20" t="s">
        <v>573</v>
      </c>
      <c r="E394" s="20" t="s">
        <v>70</v>
      </c>
      <c r="F394" s="20" t="s">
        <v>48</v>
      </c>
      <c r="G394" s="20" t="s">
        <v>49</v>
      </c>
      <c r="H394" s="20" t="n">
        <v>4</v>
      </c>
      <c r="I394" s="24" t="n">
        <v>18</v>
      </c>
      <c r="J394" s="24" t="n">
        <v>5</v>
      </c>
      <c r="K394" s="24" t="n">
        <f aca="false">H394*I394</f>
        <v>72</v>
      </c>
      <c r="L394" s="24" t="n">
        <f aca="false">K394-H394*J394</f>
        <v>52</v>
      </c>
      <c r="M394" s="20" t="s">
        <v>50</v>
      </c>
    </row>
    <row r="395" customFormat="false" ht="15" hidden="false" customHeight="false" outlineLevel="0" collapsed="false">
      <c r="A395" s="20" t="s">
        <v>1636</v>
      </c>
      <c r="B395" s="23" t="n">
        <v>45836</v>
      </c>
      <c r="C395" s="20" t="n">
        <f aca="false">MONTH(B395)</f>
        <v>6</v>
      </c>
      <c r="D395" s="20" t="s">
        <v>335</v>
      </c>
      <c r="E395" s="20" t="s">
        <v>47</v>
      </c>
      <c r="F395" s="20" t="s">
        <v>48</v>
      </c>
      <c r="G395" s="20" t="s">
        <v>49</v>
      </c>
      <c r="H395" s="20" t="n">
        <v>1</v>
      </c>
      <c r="I395" s="24" t="n">
        <v>18</v>
      </c>
      <c r="J395" s="24" t="n">
        <v>5</v>
      </c>
      <c r="K395" s="24" t="n">
        <f aca="false">H395*I395</f>
        <v>18</v>
      </c>
      <c r="L395" s="24" t="n">
        <f aca="false">K395-H395*J395</f>
        <v>13</v>
      </c>
      <c r="M395" s="20" t="s">
        <v>50</v>
      </c>
    </row>
    <row r="396" customFormat="false" ht="15" hidden="false" customHeight="false" outlineLevel="0" collapsed="false">
      <c r="A396" s="20" t="s">
        <v>56</v>
      </c>
      <c r="B396" s="23" t="n">
        <v>45839</v>
      </c>
      <c r="C396" s="20" t="n">
        <f aca="false">MONTH(B396)</f>
        <v>7</v>
      </c>
      <c r="D396" s="20" t="s">
        <v>58</v>
      </c>
      <c r="E396" s="20" t="s">
        <v>59</v>
      </c>
      <c r="F396" s="20" t="s">
        <v>81</v>
      </c>
      <c r="G396" s="20" t="s">
        <v>61</v>
      </c>
      <c r="H396" s="20" t="n">
        <v>1</v>
      </c>
      <c r="I396" s="24" t="n">
        <v>35</v>
      </c>
      <c r="J396" s="24" t="n">
        <v>12</v>
      </c>
      <c r="K396" s="24" t="n">
        <f aca="false">H396*I396</f>
        <v>35</v>
      </c>
      <c r="L396" s="24" t="n">
        <f aca="false">K396-H396*J396</f>
        <v>23</v>
      </c>
      <c r="M396" s="20" t="s">
        <v>50</v>
      </c>
    </row>
    <row r="397" customFormat="false" ht="15" hidden="false" customHeight="false" outlineLevel="0" collapsed="false">
      <c r="A397" s="20" t="s">
        <v>1385</v>
      </c>
      <c r="B397" s="23" t="n">
        <v>45839</v>
      </c>
      <c r="C397" s="20" t="n">
        <f aca="false">MONTH(B397)</f>
        <v>7</v>
      </c>
      <c r="D397" s="20" t="s">
        <v>483</v>
      </c>
      <c r="E397" s="20" t="s">
        <v>109</v>
      </c>
      <c r="F397" s="20" t="s">
        <v>81</v>
      </c>
      <c r="G397" s="20" t="s">
        <v>82</v>
      </c>
      <c r="H397" s="20" t="n">
        <v>1</v>
      </c>
      <c r="I397" s="24" t="n">
        <v>22</v>
      </c>
      <c r="J397" s="24" t="n">
        <v>8</v>
      </c>
      <c r="K397" s="24" t="n">
        <f aca="false">H397*I397</f>
        <v>22</v>
      </c>
      <c r="L397" s="24" t="n">
        <f aca="false">K397-H397*J397</f>
        <v>14</v>
      </c>
      <c r="M397" s="20" t="s">
        <v>50</v>
      </c>
    </row>
    <row r="398" customFormat="false" ht="15" hidden="false" customHeight="false" outlineLevel="0" collapsed="false">
      <c r="A398" s="20" t="s">
        <v>873</v>
      </c>
      <c r="B398" s="23" t="n">
        <v>45839</v>
      </c>
      <c r="C398" s="20" t="n">
        <f aca="false">MONTH(B398)</f>
        <v>7</v>
      </c>
      <c r="D398" s="20" t="s">
        <v>248</v>
      </c>
      <c r="E398" s="20" t="s">
        <v>65</v>
      </c>
      <c r="F398" s="20" t="s">
        <v>81</v>
      </c>
      <c r="G398" s="20" t="s">
        <v>61</v>
      </c>
      <c r="H398" s="20" t="n">
        <v>1</v>
      </c>
      <c r="I398" s="24" t="n">
        <v>35</v>
      </c>
      <c r="J398" s="24" t="n">
        <v>12</v>
      </c>
      <c r="K398" s="24" t="n">
        <f aca="false">H398*I398</f>
        <v>35</v>
      </c>
      <c r="L398" s="24" t="n">
        <f aca="false">K398-H398*J398</f>
        <v>23</v>
      </c>
      <c r="M398" s="20" t="s">
        <v>50</v>
      </c>
    </row>
    <row r="399" customFormat="false" ht="15" hidden="false" customHeight="false" outlineLevel="0" collapsed="false">
      <c r="A399" s="20" t="s">
        <v>1063</v>
      </c>
      <c r="B399" s="23" t="n">
        <v>45839</v>
      </c>
      <c r="C399" s="20" t="n">
        <f aca="false">MONTH(B399)</f>
        <v>7</v>
      </c>
      <c r="D399" s="20" t="s">
        <v>248</v>
      </c>
      <c r="E399" s="20" t="s">
        <v>47</v>
      </c>
      <c r="F399" s="20" t="s">
        <v>110</v>
      </c>
      <c r="G399" s="20" t="s">
        <v>121</v>
      </c>
      <c r="H399" s="20" t="n">
        <v>4</v>
      </c>
      <c r="I399" s="24" t="n">
        <v>21</v>
      </c>
      <c r="J399" s="24" t="n">
        <v>7</v>
      </c>
      <c r="K399" s="24" t="n">
        <f aca="false">H399*I399</f>
        <v>84</v>
      </c>
      <c r="L399" s="24" t="n">
        <f aca="false">K399-H399*J399</f>
        <v>56</v>
      </c>
      <c r="M399" s="20" t="s">
        <v>50</v>
      </c>
    </row>
    <row r="400" customFormat="false" ht="15" hidden="false" customHeight="false" outlineLevel="0" collapsed="false">
      <c r="A400" s="20" t="s">
        <v>1030</v>
      </c>
      <c r="B400" s="23" t="n">
        <v>45839</v>
      </c>
      <c r="C400" s="20" t="n">
        <f aca="false">MONTH(B400)</f>
        <v>7</v>
      </c>
      <c r="D400" s="20" t="s">
        <v>170</v>
      </c>
      <c r="E400" s="20" t="s">
        <v>109</v>
      </c>
      <c r="F400" s="20" t="s">
        <v>54</v>
      </c>
      <c r="G400" s="20" t="s">
        <v>72</v>
      </c>
      <c r="H400" s="20" t="n">
        <v>2</v>
      </c>
      <c r="I400" s="24" t="n">
        <v>24</v>
      </c>
      <c r="J400" s="24" t="n">
        <v>9</v>
      </c>
      <c r="K400" s="24" t="n">
        <f aca="false">H400*I400</f>
        <v>48</v>
      </c>
      <c r="L400" s="24" t="n">
        <f aca="false">K400-H400*J400</f>
        <v>30</v>
      </c>
      <c r="M400" s="20" t="s">
        <v>50</v>
      </c>
    </row>
    <row r="401" customFormat="false" ht="15" hidden="false" customHeight="false" outlineLevel="0" collapsed="false">
      <c r="A401" s="20" t="s">
        <v>151</v>
      </c>
      <c r="B401" s="23" t="n">
        <v>45839</v>
      </c>
      <c r="C401" s="20" t="n">
        <f aca="false">MONTH(B401)</f>
        <v>7</v>
      </c>
      <c r="D401" s="20" t="s">
        <v>100</v>
      </c>
      <c r="E401" s="20" t="s">
        <v>70</v>
      </c>
      <c r="F401" s="20" t="s">
        <v>92</v>
      </c>
      <c r="G401" s="20" t="s">
        <v>93</v>
      </c>
      <c r="H401" s="20" t="n">
        <v>2</v>
      </c>
      <c r="I401" s="24" t="n">
        <v>15</v>
      </c>
      <c r="J401" s="24" t="n">
        <v>5</v>
      </c>
      <c r="K401" s="24" t="n">
        <f aca="false">H401*I401</f>
        <v>30</v>
      </c>
      <c r="L401" s="24" t="n">
        <f aca="false">K401-H401*J401</f>
        <v>20</v>
      </c>
      <c r="M401" s="20" t="s">
        <v>50</v>
      </c>
    </row>
    <row r="402" customFormat="false" ht="15" hidden="false" customHeight="false" outlineLevel="0" collapsed="false">
      <c r="A402" s="20" t="s">
        <v>994</v>
      </c>
      <c r="B402" s="23" t="n">
        <v>45840</v>
      </c>
      <c r="C402" s="20" t="n">
        <f aca="false">MONTH(B402)</f>
        <v>7</v>
      </c>
      <c r="D402" s="20" t="s">
        <v>557</v>
      </c>
      <c r="E402" s="20" t="s">
        <v>59</v>
      </c>
      <c r="F402" s="20" t="s">
        <v>48</v>
      </c>
      <c r="G402" s="20" t="s">
        <v>144</v>
      </c>
      <c r="H402" s="20" t="n">
        <v>1</v>
      </c>
      <c r="I402" s="24" t="n">
        <v>54</v>
      </c>
      <c r="J402" s="24" t="n">
        <v>24</v>
      </c>
      <c r="K402" s="24" t="n">
        <f aca="false">H402*I402</f>
        <v>54</v>
      </c>
      <c r="L402" s="24" t="n">
        <f aca="false">K402-H402*J402</f>
        <v>30</v>
      </c>
      <c r="M402" s="20" t="s">
        <v>50</v>
      </c>
    </row>
    <row r="403" customFormat="false" ht="15" hidden="false" customHeight="false" outlineLevel="0" collapsed="false">
      <c r="A403" s="20" t="s">
        <v>653</v>
      </c>
      <c r="B403" s="23" t="n">
        <v>45840</v>
      </c>
      <c r="C403" s="20" t="n">
        <f aca="false">MONTH(B403)</f>
        <v>7</v>
      </c>
      <c r="D403" s="20" t="s">
        <v>447</v>
      </c>
      <c r="E403" s="20" t="s">
        <v>65</v>
      </c>
      <c r="F403" s="20" t="s">
        <v>110</v>
      </c>
      <c r="G403" s="20" t="s">
        <v>121</v>
      </c>
      <c r="H403" s="20" t="n">
        <v>1</v>
      </c>
      <c r="I403" s="24" t="n">
        <v>21</v>
      </c>
      <c r="J403" s="24" t="n">
        <v>7</v>
      </c>
      <c r="K403" s="24" t="n">
        <f aca="false">H403*I403</f>
        <v>21</v>
      </c>
      <c r="L403" s="24" t="n">
        <f aca="false">K403-H403*J403</f>
        <v>14</v>
      </c>
      <c r="M403" s="20" t="s">
        <v>50</v>
      </c>
    </row>
    <row r="404" customFormat="false" ht="15" hidden="false" customHeight="false" outlineLevel="0" collapsed="false">
      <c r="A404" s="20" t="s">
        <v>479</v>
      </c>
      <c r="B404" s="23" t="n">
        <v>45840</v>
      </c>
      <c r="C404" s="20" t="n">
        <f aca="false">MONTH(B404)</f>
        <v>7</v>
      </c>
      <c r="D404" s="20" t="s">
        <v>397</v>
      </c>
      <c r="E404" s="20" t="s">
        <v>109</v>
      </c>
      <c r="F404" s="20" t="s">
        <v>48</v>
      </c>
      <c r="G404" s="20" t="s">
        <v>144</v>
      </c>
      <c r="H404" s="20" t="n">
        <v>1</v>
      </c>
      <c r="I404" s="24" t="n">
        <v>54</v>
      </c>
      <c r="J404" s="24" t="n">
        <v>24</v>
      </c>
      <c r="K404" s="24" t="n">
        <f aca="false">H404*I404</f>
        <v>54</v>
      </c>
      <c r="L404" s="24" t="n">
        <f aca="false">K404-H404*J404</f>
        <v>30</v>
      </c>
      <c r="M404" s="20" t="s">
        <v>50</v>
      </c>
    </row>
    <row r="405" customFormat="false" ht="15" hidden="false" customHeight="false" outlineLevel="0" collapsed="false">
      <c r="A405" s="20" t="s">
        <v>1431</v>
      </c>
      <c r="B405" s="23" t="n">
        <v>45840</v>
      </c>
      <c r="C405" s="20" t="n">
        <f aca="false">MONTH(B405)</f>
        <v>7</v>
      </c>
      <c r="D405" s="20" t="s">
        <v>91</v>
      </c>
      <c r="E405" s="20" t="s">
        <v>70</v>
      </c>
      <c r="F405" s="20" t="s">
        <v>54</v>
      </c>
      <c r="G405" s="20" t="s">
        <v>55</v>
      </c>
      <c r="H405" s="20" t="n">
        <v>1</v>
      </c>
      <c r="I405" s="24" t="n">
        <v>38</v>
      </c>
      <c r="J405" s="24" t="n">
        <v>16</v>
      </c>
      <c r="K405" s="24" t="n">
        <f aca="false">H405*I405</f>
        <v>38</v>
      </c>
      <c r="L405" s="24" t="n">
        <f aca="false">K405-H405*J405</f>
        <v>22</v>
      </c>
      <c r="M405" s="20" t="s">
        <v>50</v>
      </c>
    </row>
    <row r="406" customFormat="false" ht="15" hidden="false" customHeight="false" outlineLevel="0" collapsed="false">
      <c r="A406" s="20" t="s">
        <v>349</v>
      </c>
      <c r="B406" s="23" t="n">
        <v>45840</v>
      </c>
      <c r="C406" s="20" t="n">
        <f aca="false">MONTH(B406)</f>
        <v>7</v>
      </c>
      <c r="D406" s="20" t="s">
        <v>239</v>
      </c>
      <c r="E406" s="20" t="s">
        <v>70</v>
      </c>
      <c r="F406" s="20" t="s">
        <v>54</v>
      </c>
      <c r="G406" s="20" t="s">
        <v>72</v>
      </c>
      <c r="H406" s="20" t="n">
        <v>1</v>
      </c>
      <c r="I406" s="24" t="n">
        <v>24</v>
      </c>
      <c r="J406" s="24" t="n">
        <v>9</v>
      </c>
      <c r="K406" s="24" t="n">
        <f aca="false">H406*I406</f>
        <v>24</v>
      </c>
      <c r="L406" s="24" t="n">
        <f aca="false">K406-H406*J406</f>
        <v>15</v>
      </c>
      <c r="M406" s="20" t="s">
        <v>50</v>
      </c>
    </row>
    <row r="407" customFormat="false" ht="15" hidden="false" customHeight="false" outlineLevel="0" collapsed="false">
      <c r="A407" s="20" t="s">
        <v>1209</v>
      </c>
      <c r="B407" s="23" t="n">
        <v>45841</v>
      </c>
      <c r="C407" s="20" t="n">
        <f aca="false">MONTH(B407)</f>
        <v>7</v>
      </c>
      <c r="D407" s="20" t="s">
        <v>616</v>
      </c>
      <c r="E407" s="20" t="s">
        <v>59</v>
      </c>
      <c r="F407" s="20" t="s">
        <v>54</v>
      </c>
      <c r="G407" s="20" t="s">
        <v>55</v>
      </c>
      <c r="H407" s="20" t="n">
        <v>1</v>
      </c>
      <c r="I407" s="24" t="n">
        <v>38</v>
      </c>
      <c r="J407" s="24" t="n">
        <v>16</v>
      </c>
      <c r="K407" s="24" t="n">
        <f aca="false">H407*I407</f>
        <v>38</v>
      </c>
      <c r="L407" s="24" t="n">
        <f aca="false">K407-H407*J407</f>
        <v>22</v>
      </c>
      <c r="M407" s="20" t="s">
        <v>50</v>
      </c>
    </row>
    <row r="408" customFormat="false" ht="15" hidden="false" customHeight="false" outlineLevel="0" collapsed="false">
      <c r="A408" s="20" t="s">
        <v>779</v>
      </c>
      <c r="B408" s="23" t="n">
        <v>45841</v>
      </c>
      <c r="C408" s="20" t="n">
        <f aca="false">MONTH(B408)</f>
        <v>7</v>
      </c>
      <c r="D408" s="20" t="s">
        <v>502</v>
      </c>
      <c r="E408" s="20" t="s">
        <v>59</v>
      </c>
      <c r="F408" s="20" t="s">
        <v>48</v>
      </c>
      <c r="G408" s="20" t="s">
        <v>116</v>
      </c>
      <c r="H408" s="20" t="n">
        <v>1</v>
      </c>
      <c r="I408" s="24" t="n">
        <v>28</v>
      </c>
      <c r="J408" s="24" t="n">
        <v>9</v>
      </c>
      <c r="K408" s="24" t="n">
        <f aca="false">H408*I408</f>
        <v>28</v>
      </c>
      <c r="L408" s="24" t="n">
        <f aca="false">K408-H408*J408</f>
        <v>19</v>
      </c>
      <c r="M408" s="20" t="s">
        <v>50</v>
      </c>
    </row>
    <row r="409" customFormat="false" ht="15" hidden="false" customHeight="false" outlineLevel="0" collapsed="false">
      <c r="A409" s="20" t="s">
        <v>373</v>
      </c>
      <c r="B409" s="23" t="n">
        <v>45841</v>
      </c>
      <c r="C409" s="20" t="n">
        <f aca="false">MONTH(B409)</f>
        <v>7</v>
      </c>
      <c r="D409" s="20" t="s">
        <v>375</v>
      </c>
      <c r="E409" s="20" t="s">
        <v>109</v>
      </c>
      <c r="F409" s="20" t="s">
        <v>48</v>
      </c>
      <c r="G409" s="20" t="s">
        <v>144</v>
      </c>
      <c r="H409" s="20" t="n">
        <v>4</v>
      </c>
      <c r="I409" s="24" t="n">
        <v>54</v>
      </c>
      <c r="J409" s="24" t="n">
        <v>24</v>
      </c>
      <c r="K409" s="24" t="n">
        <f aca="false">H409*I409</f>
        <v>216</v>
      </c>
      <c r="L409" s="24" t="n">
        <f aca="false">K409-H409*J409</f>
        <v>120</v>
      </c>
      <c r="M409" s="20" t="s">
        <v>50</v>
      </c>
    </row>
    <row r="410" customFormat="false" ht="15" hidden="false" customHeight="false" outlineLevel="0" collapsed="false">
      <c r="A410" s="20" t="s">
        <v>1408</v>
      </c>
      <c r="B410" s="23" t="n">
        <v>45841</v>
      </c>
      <c r="C410" s="20" t="n">
        <f aca="false">MONTH(B410)</f>
        <v>7</v>
      </c>
      <c r="D410" s="20" t="s">
        <v>431</v>
      </c>
      <c r="E410" s="20" t="s">
        <v>65</v>
      </c>
      <c r="F410" s="20" t="s">
        <v>81</v>
      </c>
      <c r="G410" s="20" t="s">
        <v>61</v>
      </c>
      <c r="H410" s="20" t="n">
        <v>2</v>
      </c>
      <c r="I410" s="24" t="n">
        <v>35</v>
      </c>
      <c r="J410" s="24" t="n">
        <v>12</v>
      </c>
      <c r="K410" s="24" t="n">
        <f aca="false">H410*I410</f>
        <v>70</v>
      </c>
      <c r="L410" s="24" t="n">
        <f aca="false">K410-H410*J410</f>
        <v>46</v>
      </c>
      <c r="M410" s="20" t="s">
        <v>50</v>
      </c>
    </row>
    <row r="411" customFormat="false" ht="15" hidden="false" customHeight="false" outlineLevel="0" collapsed="false">
      <c r="A411" s="20" t="s">
        <v>1605</v>
      </c>
      <c r="B411" s="23" t="n">
        <v>45842</v>
      </c>
      <c r="C411" s="20" t="n">
        <f aca="false">MONTH(B411)</f>
        <v>7</v>
      </c>
      <c r="D411" s="20" t="s">
        <v>304</v>
      </c>
      <c r="E411" s="20" t="s">
        <v>70</v>
      </c>
      <c r="F411" s="20" t="s">
        <v>81</v>
      </c>
      <c r="G411" s="20" t="s">
        <v>82</v>
      </c>
      <c r="H411" s="20" t="n">
        <v>1</v>
      </c>
      <c r="I411" s="24" t="n">
        <v>22</v>
      </c>
      <c r="J411" s="24" t="n">
        <v>8</v>
      </c>
      <c r="K411" s="24" t="n">
        <f aca="false">H411*I411</f>
        <v>22</v>
      </c>
      <c r="L411" s="24" t="n">
        <f aca="false">K411-H411*J411</f>
        <v>14</v>
      </c>
      <c r="M411" s="20" t="s">
        <v>50</v>
      </c>
    </row>
    <row r="412" customFormat="false" ht="15" hidden="false" customHeight="false" outlineLevel="0" collapsed="false">
      <c r="A412" s="20" t="s">
        <v>754</v>
      </c>
      <c r="B412" s="23" t="n">
        <v>45842</v>
      </c>
      <c r="C412" s="20" t="n">
        <f aca="false">MONTH(B412)</f>
        <v>7</v>
      </c>
      <c r="D412" s="20" t="s">
        <v>161</v>
      </c>
      <c r="E412" s="20" t="s">
        <v>109</v>
      </c>
      <c r="F412" s="20" t="s">
        <v>54</v>
      </c>
      <c r="G412" s="20" t="s">
        <v>55</v>
      </c>
      <c r="H412" s="20" t="n">
        <v>2</v>
      </c>
      <c r="I412" s="24" t="n">
        <v>38</v>
      </c>
      <c r="J412" s="24" t="n">
        <v>16</v>
      </c>
      <c r="K412" s="24" t="n">
        <f aca="false">H412*I412</f>
        <v>76</v>
      </c>
      <c r="L412" s="24" t="n">
        <f aca="false">K412-H412*J412</f>
        <v>44</v>
      </c>
      <c r="M412" s="20" t="s">
        <v>50</v>
      </c>
    </row>
    <row r="413" customFormat="false" ht="15" hidden="false" customHeight="false" outlineLevel="0" collapsed="false">
      <c r="A413" s="20" t="s">
        <v>810</v>
      </c>
      <c r="B413" s="23" t="n">
        <v>45843</v>
      </c>
      <c r="C413" s="20" t="n">
        <f aca="false">MONTH(B413)</f>
        <v>7</v>
      </c>
      <c r="D413" s="20" t="s">
        <v>592</v>
      </c>
      <c r="E413" s="20" t="s">
        <v>65</v>
      </c>
      <c r="F413" s="20" t="s">
        <v>48</v>
      </c>
      <c r="G413" s="20" t="s">
        <v>116</v>
      </c>
      <c r="H413" s="20" t="n">
        <v>1</v>
      </c>
      <c r="I413" s="24" t="n">
        <v>28</v>
      </c>
      <c r="J413" s="24" t="n">
        <v>9</v>
      </c>
      <c r="K413" s="24" t="n">
        <f aca="false">H413*I413</f>
        <v>28</v>
      </c>
      <c r="L413" s="24" t="n">
        <f aca="false">K413-H413*J413</f>
        <v>19</v>
      </c>
      <c r="M413" s="20" t="s">
        <v>50</v>
      </c>
    </row>
    <row r="414" customFormat="false" ht="15" hidden="false" customHeight="false" outlineLevel="0" collapsed="false">
      <c r="A414" s="20" t="s">
        <v>1109</v>
      </c>
      <c r="B414" s="23" t="n">
        <v>45843</v>
      </c>
      <c r="C414" s="20" t="n">
        <f aca="false">MONTH(B414)</f>
        <v>7</v>
      </c>
      <c r="D414" s="20" t="s">
        <v>377</v>
      </c>
      <c r="E414" s="20" t="s">
        <v>70</v>
      </c>
      <c r="F414" s="20" t="s">
        <v>81</v>
      </c>
      <c r="G414" s="20" t="s">
        <v>82</v>
      </c>
      <c r="H414" s="20" t="n">
        <v>1</v>
      </c>
      <c r="I414" s="24" t="n">
        <v>22</v>
      </c>
      <c r="J414" s="24" t="n">
        <v>8</v>
      </c>
      <c r="K414" s="24" t="n">
        <f aca="false">H414*I414</f>
        <v>22</v>
      </c>
      <c r="L414" s="24" t="n">
        <f aca="false">K414-H414*J414</f>
        <v>14</v>
      </c>
      <c r="M414" s="20" t="s">
        <v>50</v>
      </c>
    </row>
    <row r="415" customFormat="false" ht="15" hidden="false" customHeight="false" outlineLevel="0" collapsed="false">
      <c r="A415" s="20" t="s">
        <v>1019</v>
      </c>
      <c r="B415" s="23" t="n">
        <v>45844</v>
      </c>
      <c r="C415" s="20" t="n">
        <f aca="false">MONTH(B415)</f>
        <v>7</v>
      </c>
      <c r="D415" s="20" t="s">
        <v>147</v>
      </c>
      <c r="E415" s="20" t="s">
        <v>70</v>
      </c>
      <c r="F415" s="20" t="s">
        <v>54</v>
      </c>
      <c r="G415" s="20" t="s">
        <v>72</v>
      </c>
      <c r="H415" s="20" t="n">
        <v>2</v>
      </c>
      <c r="I415" s="24" t="n">
        <v>24</v>
      </c>
      <c r="J415" s="24" t="n">
        <v>9</v>
      </c>
      <c r="K415" s="24" t="n">
        <f aca="false">H415*I415</f>
        <v>48</v>
      </c>
      <c r="L415" s="24" t="n">
        <f aca="false">K415-H415*J415</f>
        <v>30</v>
      </c>
      <c r="M415" s="20" t="s">
        <v>50</v>
      </c>
    </row>
    <row r="416" customFormat="false" ht="15" hidden="false" customHeight="false" outlineLevel="0" collapsed="false">
      <c r="A416" s="20" t="s">
        <v>1163</v>
      </c>
      <c r="B416" s="23" t="n">
        <v>45844</v>
      </c>
      <c r="C416" s="20" t="n">
        <f aca="false">MONTH(B416)</f>
        <v>7</v>
      </c>
      <c r="D416" s="20" t="s">
        <v>250</v>
      </c>
      <c r="E416" s="20" t="s">
        <v>65</v>
      </c>
      <c r="F416" s="20" t="s">
        <v>92</v>
      </c>
      <c r="G416" s="20" t="s">
        <v>196</v>
      </c>
      <c r="H416" s="20" t="n">
        <v>1</v>
      </c>
      <c r="I416" s="24" t="n">
        <v>89</v>
      </c>
      <c r="J416" s="24" t="n">
        <v>41</v>
      </c>
      <c r="K416" s="24" t="n">
        <f aca="false">H416*I416</f>
        <v>89</v>
      </c>
      <c r="L416" s="24" t="n">
        <f aca="false">K416-H416*J416</f>
        <v>48</v>
      </c>
      <c r="M416" s="20" t="s">
        <v>50</v>
      </c>
    </row>
    <row r="417" customFormat="false" ht="15" hidden="false" customHeight="false" outlineLevel="0" collapsed="false">
      <c r="A417" s="20" t="s">
        <v>1032</v>
      </c>
      <c r="B417" s="23" t="n">
        <v>45845</v>
      </c>
      <c r="C417" s="20" t="n">
        <f aca="false">MONTH(B417)</f>
        <v>7</v>
      </c>
      <c r="D417" s="20" t="s">
        <v>719</v>
      </c>
      <c r="E417" s="20" t="s">
        <v>65</v>
      </c>
      <c r="F417" s="20" t="s">
        <v>81</v>
      </c>
      <c r="G417" s="20" t="s">
        <v>82</v>
      </c>
      <c r="H417" s="20" t="n">
        <v>1</v>
      </c>
      <c r="I417" s="24" t="n">
        <v>22</v>
      </c>
      <c r="J417" s="24" t="n">
        <v>8</v>
      </c>
      <c r="K417" s="24" t="n">
        <f aca="false">H417*I417</f>
        <v>22</v>
      </c>
      <c r="L417" s="24" t="n">
        <f aca="false">K417-H417*J417</f>
        <v>14</v>
      </c>
      <c r="M417" s="20" t="s">
        <v>50</v>
      </c>
    </row>
    <row r="418" customFormat="false" ht="15" hidden="false" customHeight="false" outlineLevel="0" collapsed="false">
      <c r="A418" s="20" t="s">
        <v>1043</v>
      </c>
      <c r="B418" s="23" t="n">
        <v>45846</v>
      </c>
      <c r="C418" s="20" t="n">
        <f aca="false">MONTH(B418)</f>
        <v>7</v>
      </c>
      <c r="D418" s="20" t="s">
        <v>195</v>
      </c>
      <c r="E418" s="20" t="s">
        <v>59</v>
      </c>
      <c r="F418" s="20" t="s">
        <v>54</v>
      </c>
      <c r="G418" s="20" t="s">
        <v>76</v>
      </c>
      <c r="H418" s="20" t="n">
        <v>2</v>
      </c>
      <c r="I418" s="24" t="n">
        <v>32</v>
      </c>
      <c r="J418" s="24" t="n">
        <v>13</v>
      </c>
      <c r="K418" s="24" t="n">
        <f aca="false">H418*I418</f>
        <v>64</v>
      </c>
      <c r="L418" s="24" t="n">
        <f aca="false">K418-H418*J418</f>
        <v>38</v>
      </c>
      <c r="M418" s="20" t="s">
        <v>50</v>
      </c>
    </row>
    <row r="419" customFormat="false" ht="15" hidden="false" customHeight="false" outlineLevel="0" collapsed="false">
      <c r="A419" s="20" t="s">
        <v>458</v>
      </c>
      <c r="B419" s="23" t="n">
        <v>45846</v>
      </c>
      <c r="C419" s="20" t="n">
        <f aca="false">MONTH(B419)</f>
        <v>7</v>
      </c>
      <c r="D419" s="20" t="s">
        <v>195</v>
      </c>
      <c r="E419" s="20" t="s">
        <v>65</v>
      </c>
      <c r="F419" s="20" t="s">
        <v>92</v>
      </c>
      <c r="G419" s="20" t="s">
        <v>105</v>
      </c>
      <c r="H419" s="20" t="n">
        <v>2</v>
      </c>
      <c r="I419" s="24" t="n">
        <v>49</v>
      </c>
      <c r="J419" s="24" t="n">
        <v>22</v>
      </c>
      <c r="K419" s="24" t="n">
        <f aca="false">H419*I419</f>
        <v>98</v>
      </c>
      <c r="L419" s="24" t="n">
        <f aca="false">K419-H419*J419</f>
        <v>54</v>
      </c>
      <c r="M419" s="20" t="s">
        <v>50</v>
      </c>
    </row>
    <row r="420" customFormat="false" ht="15" hidden="false" customHeight="false" outlineLevel="0" collapsed="false">
      <c r="A420" s="20" t="s">
        <v>215</v>
      </c>
      <c r="B420" s="23" t="n">
        <v>45846</v>
      </c>
      <c r="C420" s="20" t="n">
        <f aca="false">MONTH(B420)</f>
        <v>7</v>
      </c>
      <c r="D420" s="20" t="s">
        <v>216</v>
      </c>
      <c r="E420" s="20" t="s">
        <v>70</v>
      </c>
      <c r="F420" s="20" t="s">
        <v>54</v>
      </c>
      <c r="G420" s="20" t="s">
        <v>76</v>
      </c>
      <c r="H420" s="20" t="n">
        <v>1</v>
      </c>
      <c r="I420" s="24" t="n">
        <v>32</v>
      </c>
      <c r="J420" s="24" t="n">
        <v>13</v>
      </c>
      <c r="K420" s="24" t="n">
        <f aca="false">H420*I420</f>
        <v>32</v>
      </c>
      <c r="L420" s="24" t="n">
        <f aca="false">K420-H420*J420</f>
        <v>19</v>
      </c>
      <c r="M420" s="20" t="s">
        <v>50</v>
      </c>
    </row>
    <row r="421" customFormat="false" ht="15" hidden="false" customHeight="false" outlineLevel="0" collapsed="false">
      <c r="A421" s="20" t="s">
        <v>123</v>
      </c>
      <c r="B421" s="23" t="n">
        <v>45847</v>
      </c>
      <c r="C421" s="20" t="n">
        <f aca="false">MONTH(B421)</f>
        <v>7</v>
      </c>
      <c r="D421" s="20" t="s">
        <v>125</v>
      </c>
      <c r="E421" s="20" t="s">
        <v>70</v>
      </c>
      <c r="F421" s="20" t="s">
        <v>92</v>
      </c>
      <c r="G421" s="20" t="s">
        <v>105</v>
      </c>
      <c r="H421" s="20" t="n">
        <v>1</v>
      </c>
      <c r="I421" s="24" t="n">
        <v>49</v>
      </c>
      <c r="J421" s="24" t="n">
        <v>22</v>
      </c>
      <c r="K421" s="24" t="n">
        <f aca="false">H421*I421</f>
        <v>49</v>
      </c>
      <c r="L421" s="24" t="n">
        <f aca="false">K421-H421*J421</f>
        <v>27</v>
      </c>
      <c r="M421" s="20" t="s">
        <v>50</v>
      </c>
    </row>
    <row r="422" customFormat="false" ht="15" hidden="false" customHeight="false" outlineLevel="0" collapsed="false">
      <c r="A422" s="20" t="s">
        <v>1026</v>
      </c>
      <c r="B422" s="23" t="n">
        <v>45847</v>
      </c>
      <c r="C422" s="20" t="n">
        <f aca="false">MONTH(B422)</f>
        <v>7</v>
      </c>
      <c r="D422" s="20" t="s">
        <v>1028</v>
      </c>
      <c r="E422" s="20" t="s">
        <v>47</v>
      </c>
      <c r="F422" s="20" t="s">
        <v>110</v>
      </c>
      <c r="G422" s="20" t="s">
        <v>236</v>
      </c>
      <c r="H422" s="20" t="n">
        <v>1</v>
      </c>
      <c r="I422" s="24" t="n">
        <v>30</v>
      </c>
      <c r="J422" s="24" t="n">
        <v>11</v>
      </c>
      <c r="K422" s="24" t="n">
        <f aca="false">H422*I422</f>
        <v>30</v>
      </c>
      <c r="L422" s="24" t="n">
        <f aca="false">K422-H422*J422</f>
        <v>19</v>
      </c>
      <c r="M422" s="20" t="s">
        <v>50</v>
      </c>
    </row>
    <row r="423" customFormat="false" ht="15" hidden="false" customHeight="false" outlineLevel="0" collapsed="false">
      <c r="A423" s="20" t="s">
        <v>1179</v>
      </c>
      <c r="B423" s="23" t="n">
        <v>45848</v>
      </c>
      <c r="C423" s="20" t="n">
        <f aca="false">MONTH(B423)</f>
        <v>7</v>
      </c>
      <c r="D423" s="20" t="s">
        <v>442</v>
      </c>
      <c r="E423" s="20" t="s">
        <v>109</v>
      </c>
      <c r="F423" s="20" t="s">
        <v>48</v>
      </c>
      <c r="G423" s="20" t="s">
        <v>144</v>
      </c>
      <c r="H423" s="20" t="n">
        <v>2</v>
      </c>
      <c r="I423" s="24" t="n">
        <v>54</v>
      </c>
      <c r="J423" s="24" t="n">
        <v>24</v>
      </c>
      <c r="K423" s="24" t="n">
        <f aca="false">H423*I423</f>
        <v>108</v>
      </c>
      <c r="L423" s="24" t="n">
        <f aca="false">K423-H423*J423</f>
        <v>60</v>
      </c>
      <c r="M423" s="20" t="s">
        <v>50</v>
      </c>
    </row>
    <row r="424" customFormat="false" ht="15" hidden="false" customHeight="false" outlineLevel="0" collapsed="false">
      <c r="A424" s="20" t="s">
        <v>1564</v>
      </c>
      <c r="B424" s="23" t="n">
        <v>45848</v>
      </c>
      <c r="C424" s="20" t="n">
        <f aca="false">MONTH(B424)</f>
        <v>7</v>
      </c>
      <c r="D424" s="20" t="s">
        <v>519</v>
      </c>
      <c r="E424" s="20" t="s">
        <v>59</v>
      </c>
      <c r="F424" s="20" t="s">
        <v>110</v>
      </c>
      <c r="G424" s="20" t="s">
        <v>111</v>
      </c>
      <c r="H424" s="20" t="n">
        <v>4</v>
      </c>
      <c r="I424" s="24" t="n">
        <v>16</v>
      </c>
      <c r="J424" s="24" t="n">
        <v>5</v>
      </c>
      <c r="K424" s="24" t="n">
        <f aca="false">H424*I424</f>
        <v>64</v>
      </c>
      <c r="L424" s="24" t="n">
        <f aca="false">K424-H424*J424</f>
        <v>44</v>
      </c>
      <c r="M424" s="20" t="s">
        <v>50</v>
      </c>
    </row>
    <row r="425" customFormat="false" ht="15" hidden="false" customHeight="false" outlineLevel="0" collapsed="false">
      <c r="A425" s="20" t="s">
        <v>839</v>
      </c>
      <c r="B425" s="23" t="n">
        <v>45849</v>
      </c>
      <c r="C425" s="20" t="n">
        <f aca="false">MONTH(B425)</f>
        <v>7</v>
      </c>
      <c r="D425" s="20" t="s">
        <v>245</v>
      </c>
      <c r="E425" s="20" t="s">
        <v>65</v>
      </c>
      <c r="F425" s="20" t="s">
        <v>92</v>
      </c>
      <c r="G425" s="20" t="s">
        <v>196</v>
      </c>
      <c r="H425" s="20" t="n">
        <v>1</v>
      </c>
      <c r="I425" s="24" t="n">
        <v>89</v>
      </c>
      <c r="J425" s="24" t="n">
        <v>41</v>
      </c>
      <c r="K425" s="24" t="n">
        <f aca="false">H425*I425</f>
        <v>89</v>
      </c>
      <c r="L425" s="24" t="n">
        <f aca="false">K425-H425*J425</f>
        <v>48</v>
      </c>
      <c r="M425" s="20" t="s">
        <v>50</v>
      </c>
    </row>
    <row r="426" customFormat="false" ht="15" hidden="false" customHeight="false" outlineLevel="0" collapsed="false">
      <c r="A426" s="20" t="s">
        <v>953</v>
      </c>
      <c r="B426" s="23" t="n">
        <v>45849</v>
      </c>
      <c r="C426" s="20" t="n">
        <f aca="false">MONTH(B426)</f>
        <v>7</v>
      </c>
      <c r="D426" s="20" t="s">
        <v>286</v>
      </c>
      <c r="E426" s="20" t="s">
        <v>65</v>
      </c>
      <c r="F426" s="20" t="s">
        <v>54</v>
      </c>
      <c r="G426" s="20" t="s">
        <v>76</v>
      </c>
      <c r="H426" s="20" t="n">
        <v>1</v>
      </c>
      <c r="I426" s="24" t="n">
        <v>32</v>
      </c>
      <c r="J426" s="24" t="n">
        <v>13</v>
      </c>
      <c r="K426" s="24" t="n">
        <f aca="false">H426*I426</f>
        <v>32</v>
      </c>
      <c r="L426" s="24" t="n">
        <f aca="false">K426-H426*J426</f>
        <v>19</v>
      </c>
      <c r="M426" s="20" t="s">
        <v>50</v>
      </c>
    </row>
    <row r="427" customFormat="false" ht="15" hidden="false" customHeight="false" outlineLevel="0" collapsed="false">
      <c r="A427" s="20" t="s">
        <v>1312</v>
      </c>
      <c r="B427" s="23" t="n">
        <v>45849</v>
      </c>
      <c r="C427" s="20" t="n">
        <f aca="false">MONTH(B427)</f>
        <v>7</v>
      </c>
      <c r="D427" s="20" t="s">
        <v>134</v>
      </c>
      <c r="E427" s="20" t="s">
        <v>47</v>
      </c>
      <c r="F427" s="20" t="s">
        <v>110</v>
      </c>
      <c r="G427" s="20" t="s">
        <v>121</v>
      </c>
      <c r="H427" s="20" t="n">
        <v>1</v>
      </c>
      <c r="I427" s="24" t="n">
        <v>21</v>
      </c>
      <c r="J427" s="24" t="n">
        <v>7</v>
      </c>
      <c r="K427" s="24" t="n">
        <f aca="false">H427*I427</f>
        <v>21</v>
      </c>
      <c r="L427" s="24" t="n">
        <f aca="false">K427-H427*J427</f>
        <v>14</v>
      </c>
      <c r="M427" s="20" t="s">
        <v>50</v>
      </c>
    </row>
    <row r="428" customFormat="false" ht="15" hidden="false" customHeight="false" outlineLevel="0" collapsed="false">
      <c r="A428" s="20" t="s">
        <v>83</v>
      </c>
      <c r="B428" s="23" t="n">
        <v>45849</v>
      </c>
      <c r="C428" s="20" t="n">
        <f aca="false">MONTH(B428)</f>
        <v>7</v>
      </c>
      <c r="D428" s="20" t="s">
        <v>64</v>
      </c>
      <c r="E428" s="20" t="s">
        <v>59</v>
      </c>
      <c r="F428" s="20" t="s">
        <v>54</v>
      </c>
      <c r="G428" s="20" t="s">
        <v>72</v>
      </c>
      <c r="H428" s="20" t="n">
        <v>1</v>
      </c>
      <c r="I428" s="24" t="n">
        <v>24</v>
      </c>
      <c r="J428" s="24" t="n">
        <v>9</v>
      </c>
      <c r="K428" s="24" t="n">
        <f aca="false">H428*I428</f>
        <v>24</v>
      </c>
      <c r="L428" s="24" t="n">
        <f aca="false">K428-H428*J428</f>
        <v>15</v>
      </c>
      <c r="M428" s="20" t="s">
        <v>50</v>
      </c>
    </row>
    <row r="429" customFormat="false" ht="15" hidden="false" customHeight="false" outlineLevel="0" collapsed="false">
      <c r="A429" s="20" t="s">
        <v>1056</v>
      </c>
      <c r="B429" s="23" t="n">
        <v>45850</v>
      </c>
      <c r="C429" s="20" t="n">
        <f aca="false">MONTH(B429)</f>
        <v>7</v>
      </c>
      <c r="D429" s="20" t="s">
        <v>1018</v>
      </c>
      <c r="E429" s="20" t="s">
        <v>47</v>
      </c>
      <c r="F429" s="20" t="s">
        <v>92</v>
      </c>
      <c r="G429" s="20" t="s">
        <v>93</v>
      </c>
      <c r="H429" s="20" t="n">
        <v>1</v>
      </c>
      <c r="I429" s="24" t="n">
        <v>15</v>
      </c>
      <c r="J429" s="24" t="n">
        <v>5</v>
      </c>
      <c r="K429" s="24" t="n">
        <f aca="false">H429*I429</f>
        <v>15</v>
      </c>
      <c r="L429" s="24" t="n">
        <f aca="false">K429-H429*J429</f>
        <v>10</v>
      </c>
      <c r="M429" s="20" t="s">
        <v>50</v>
      </c>
    </row>
    <row r="430" customFormat="false" ht="15" hidden="false" customHeight="false" outlineLevel="0" collapsed="false">
      <c r="A430" s="20" t="s">
        <v>438</v>
      </c>
      <c r="B430" s="23" t="n">
        <v>45850</v>
      </c>
      <c r="C430" s="20" t="n">
        <f aca="false">MONTH(B430)</f>
        <v>7</v>
      </c>
      <c r="D430" s="20" t="s">
        <v>392</v>
      </c>
      <c r="E430" s="20" t="s">
        <v>59</v>
      </c>
      <c r="F430" s="20" t="s">
        <v>110</v>
      </c>
      <c r="G430" s="20" t="s">
        <v>111</v>
      </c>
      <c r="H430" s="20" t="n">
        <v>3</v>
      </c>
      <c r="I430" s="24" t="n">
        <v>16</v>
      </c>
      <c r="J430" s="24" t="n">
        <v>5</v>
      </c>
      <c r="K430" s="24" t="n">
        <f aca="false">H430*I430</f>
        <v>48</v>
      </c>
      <c r="L430" s="24" t="n">
        <f aca="false">K430-H430*J430</f>
        <v>33</v>
      </c>
      <c r="M430" s="20" t="s">
        <v>50</v>
      </c>
    </row>
    <row r="431" customFormat="false" ht="15" hidden="false" customHeight="false" outlineLevel="0" collapsed="false">
      <c r="A431" s="20" t="s">
        <v>1656</v>
      </c>
      <c r="B431" s="23" t="n">
        <v>45853</v>
      </c>
      <c r="C431" s="20" t="n">
        <f aca="false">MONTH(B431)</f>
        <v>7</v>
      </c>
      <c r="D431" s="20" t="s">
        <v>192</v>
      </c>
      <c r="E431" s="20" t="s">
        <v>59</v>
      </c>
      <c r="F431" s="20" t="s">
        <v>92</v>
      </c>
      <c r="G431" s="20" t="s">
        <v>93</v>
      </c>
      <c r="H431" s="20" t="n">
        <v>1</v>
      </c>
      <c r="I431" s="24" t="n">
        <v>15</v>
      </c>
      <c r="J431" s="24" t="n">
        <v>5</v>
      </c>
      <c r="K431" s="24" t="n">
        <f aca="false">H431*I431</f>
        <v>15</v>
      </c>
      <c r="L431" s="24" t="n">
        <f aca="false">K431-H431*J431</f>
        <v>10</v>
      </c>
      <c r="M431" s="20" t="s">
        <v>50</v>
      </c>
    </row>
    <row r="432" customFormat="false" ht="15" hidden="false" customHeight="false" outlineLevel="0" collapsed="false">
      <c r="A432" s="20" t="s">
        <v>790</v>
      </c>
      <c r="B432" s="23" t="n">
        <v>45853</v>
      </c>
      <c r="C432" s="20" t="n">
        <f aca="false">MONTH(B432)</f>
        <v>7</v>
      </c>
      <c r="D432" s="20" t="s">
        <v>502</v>
      </c>
      <c r="E432" s="20" t="s">
        <v>47</v>
      </c>
      <c r="F432" s="20" t="s">
        <v>54</v>
      </c>
      <c r="G432" s="20" t="s">
        <v>72</v>
      </c>
      <c r="H432" s="20" t="n">
        <v>1</v>
      </c>
      <c r="I432" s="24" t="n">
        <v>24</v>
      </c>
      <c r="J432" s="24" t="n">
        <v>9</v>
      </c>
      <c r="K432" s="24" t="n">
        <f aca="false">H432*I432</f>
        <v>24</v>
      </c>
      <c r="L432" s="24" t="n">
        <f aca="false">K432-H432*J432</f>
        <v>15</v>
      </c>
      <c r="M432" s="20" t="s">
        <v>50</v>
      </c>
    </row>
    <row r="433" customFormat="false" ht="15" hidden="false" customHeight="false" outlineLevel="0" collapsed="false">
      <c r="A433" s="20" t="s">
        <v>1318</v>
      </c>
      <c r="B433" s="23" t="n">
        <v>45853</v>
      </c>
      <c r="C433" s="20" t="n">
        <f aca="false">MONTH(B433)</f>
        <v>7</v>
      </c>
      <c r="D433" s="20" t="s">
        <v>269</v>
      </c>
      <c r="E433" s="20" t="s">
        <v>47</v>
      </c>
      <c r="F433" s="20" t="s">
        <v>48</v>
      </c>
      <c r="G433" s="20" t="s">
        <v>49</v>
      </c>
      <c r="H433" s="20" t="n">
        <v>1</v>
      </c>
      <c r="I433" s="24" t="n">
        <v>18</v>
      </c>
      <c r="J433" s="24" t="n">
        <v>5</v>
      </c>
      <c r="K433" s="24" t="n">
        <f aca="false">H433*I433</f>
        <v>18</v>
      </c>
      <c r="L433" s="24" t="n">
        <f aca="false">K433-H433*J433</f>
        <v>13</v>
      </c>
      <c r="M433" s="20" t="s">
        <v>50</v>
      </c>
    </row>
    <row r="434" customFormat="false" ht="15" hidden="false" customHeight="false" outlineLevel="0" collapsed="false">
      <c r="A434" s="20" t="s">
        <v>1130</v>
      </c>
      <c r="B434" s="23" t="n">
        <v>45854</v>
      </c>
      <c r="C434" s="20" t="n">
        <f aca="false">MONTH(B434)</f>
        <v>7</v>
      </c>
      <c r="D434" s="20" t="s">
        <v>357</v>
      </c>
      <c r="E434" s="20" t="s">
        <v>109</v>
      </c>
      <c r="F434" s="20" t="s">
        <v>54</v>
      </c>
      <c r="G434" s="20" t="s">
        <v>76</v>
      </c>
      <c r="H434" s="20" t="n">
        <v>1</v>
      </c>
      <c r="I434" s="24" t="n">
        <v>32</v>
      </c>
      <c r="J434" s="24" t="n">
        <v>13</v>
      </c>
      <c r="K434" s="24" t="n">
        <f aca="false">H434*I434</f>
        <v>32</v>
      </c>
      <c r="L434" s="24" t="n">
        <f aca="false">K434-H434*J434</f>
        <v>19</v>
      </c>
      <c r="M434" s="20" t="s">
        <v>50</v>
      </c>
    </row>
    <row r="435" customFormat="false" ht="15" hidden="false" customHeight="false" outlineLevel="0" collapsed="false">
      <c r="A435" s="20" t="s">
        <v>1403</v>
      </c>
      <c r="B435" s="23" t="n">
        <v>45854</v>
      </c>
      <c r="C435" s="20" t="n">
        <f aca="false">MONTH(B435)</f>
        <v>7</v>
      </c>
      <c r="D435" s="20" t="s">
        <v>214</v>
      </c>
      <c r="E435" s="20" t="s">
        <v>47</v>
      </c>
      <c r="F435" s="20" t="s">
        <v>92</v>
      </c>
      <c r="G435" s="20" t="s">
        <v>105</v>
      </c>
      <c r="H435" s="20" t="n">
        <v>1</v>
      </c>
      <c r="I435" s="24" t="n">
        <v>49</v>
      </c>
      <c r="J435" s="24" t="n">
        <v>22</v>
      </c>
      <c r="K435" s="24" t="n">
        <f aca="false">H435*I435</f>
        <v>49</v>
      </c>
      <c r="L435" s="24" t="n">
        <f aca="false">K435-H435*J435</f>
        <v>27</v>
      </c>
      <c r="M435" s="20" t="s">
        <v>50</v>
      </c>
    </row>
    <row r="436" customFormat="false" ht="15" hidden="false" customHeight="false" outlineLevel="0" collapsed="false">
      <c r="A436" s="20" t="s">
        <v>1663</v>
      </c>
      <c r="B436" s="23" t="n">
        <v>45854</v>
      </c>
      <c r="C436" s="20" t="n">
        <f aca="false">MONTH(B436)</f>
        <v>7</v>
      </c>
      <c r="D436" s="20" t="s">
        <v>174</v>
      </c>
      <c r="E436" s="20" t="s">
        <v>59</v>
      </c>
      <c r="F436" s="20" t="s">
        <v>110</v>
      </c>
      <c r="G436" s="20" t="s">
        <v>121</v>
      </c>
      <c r="H436" s="20" t="n">
        <v>2</v>
      </c>
      <c r="I436" s="24" t="n">
        <v>21</v>
      </c>
      <c r="J436" s="24" t="n">
        <v>7</v>
      </c>
      <c r="K436" s="24" t="n">
        <f aca="false">H436*I436</f>
        <v>42</v>
      </c>
      <c r="L436" s="24" t="n">
        <f aca="false">K436-H436*J436</f>
        <v>28</v>
      </c>
      <c r="M436" s="20" t="s">
        <v>50</v>
      </c>
    </row>
    <row r="437" customFormat="false" ht="15" hidden="false" customHeight="false" outlineLevel="0" collapsed="false">
      <c r="A437" s="20" t="s">
        <v>1289</v>
      </c>
      <c r="B437" s="23" t="n">
        <v>45855</v>
      </c>
      <c r="C437" s="20" t="n">
        <f aca="false">MONTH(B437)</f>
        <v>7</v>
      </c>
      <c r="D437" s="20" t="s">
        <v>1136</v>
      </c>
      <c r="E437" s="20" t="s">
        <v>47</v>
      </c>
      <c r="F437" s="20" t="s">
        <v>92</v>
      </c>
      <c r="G437" s="20" t="s">
        <v>105</v>
      </c>
      <c r="H437" s="20" t="n">
        <v>2</v>
      </c>
      <c r="I437" s="24" t="n">
        <v>49</v>
      </c>
      <c r="J437" s="24" t="n">
        <v>22</v>
      </c>
      <c r="K437" s="24" t="n">
        <f aca="false">H437*I437</f>
        <v>98</v>
      </c>
      <c r="L437" s="24" t="n">
        <f aca="false">K437-H437*J437</f>
        <v>54</v>
      </c>
      <c r="M437" s="20" t="s">
        <v>50</v>
      </c>
    </row>
    <row r="438" customFormat="false" ht="15" hidden="false" customHeight="false" outlineLevel="0" collapsed="false">
      <c r="A438" s="20" t="s">
        <v>1669</v>
      </c>
      <c r="B438" s="23" t="n">
        <v>45856</v>
      </c>
      <c r="C438" s="20" t="n">
        <f aca="false">MONTH(B438)</f>
        <v>7</v>
      </c>
      <c r="D438" s="20" t="s">
        <v>64</v>
      </c>
      <c r="E438" s="20" t="s">
        <v>47</v>
      </c>
      <c r="F438" s="20" t="s">
        <v>81</v>
      </c>
      <c r="G438" s="20" t="s">
        <v>82</v>
      </c>
      <c r="H438" s="20" t="n">
        <v>1</v>
      </c>
      <c r="I438" s="24" t="n">
        <v>22</v>
      </c>
      <c r="J438" s="24" t="n">
        <v>8</v>
      </c>
      <c r="K438" s="24" t="n">
        <f aca="false">H438*I438</f>
        <v>22</v>
      </c>
      <c r="L438" s="24" t="n">
        <f aca="false">K438-H438*J438</f>
        <v>14</v>
      </c>
      <c r="M438" s="20" t="s">
        <v>112</v>
      </c>
    </row>
    <row r="439" customFormat="false" ht="15" hidden="false" customHeight="false" outlineLevel="0" collapsed="false">
      <c r="A439" s="20" t="s">
        <v>1235</v>
      </c>
      <c r="B439" s="23" t="n">
        <v>45857</v>
      </c>
      <c r="C439" s="20" t="n">
        <f aca="false">MONTH(B439)</f>
        <v>7</v>
      </c>
      <c r="D439" s="20" t="s">
        <v>100</v>
      </c>
      <c r="E439" s="20" t="s">
        <v>109</v>
      </c>
      <c r="F439" s="20" t="s">
        <v>54</v>
      </c>
      <c r="G439" s="20" t="s">
        <v>72</v>
      </c>
      <c r="H439" s="20" t="n">
        <v>1</v>
      </c>
      <c r="I439" s="24" t="n">
        <v>24</v>
      </c>
      <c r="J439" s="24" t="n">
        <v>9</v>
      </c>
      <c r="K439" s="24" t="n">
        <f aca="false">H439*I439</f>
        <v>24</v>
      </c>
      <c r="L439" s="24" t="n">
        <f aca="false">K439-H439*J439</f>
        <v>15</v>
      </c>
      <c r="M439" s="20" t="s">
        <v>50</v>
      </c>
    </row>
    <row r="440" customFormat="false" ht="15" hidden="false" customHeight="false" outlineLevel="0" collapsed="false">
      <c r="A440" s="20" t="s">
        <v>263</v>
      </c>
      <c r="B440" s="23" t="n">
        <v>45857</v>
      </c>
      <c r="C440" s="20" t="n">
        <f aca="false">MONTH(B440)</f>
        <v>7</v>
      </c>
      <c r="D440" s="20" t="s">
        <v>119</v>
      </c>
      <c r="E440" s="20" t="s">
        <v>59</v>
      </c>
      <c r="F440" s="20" t="s">
        <v>81</v>
      </c>
      <c r="G440" s="20" t="s">
        <v>82</v>
      </c>
      <c r="H440" s="20" t="n">
        <v>1</v>
      </c>
      <c r="I440" s="24" t="n">
        <v>22</v>
      </c>
      <c r="J440" s="24" t="n">
        <v>8</v>
      </c>
      <c r="K440" s="24" t="n">
        <f aca="false">H440*I440</f>
        <v>22</v>
      </c>
      <c r="L440" s="24" t="n">
        <f aca="false">K440-H440*J440</f>
        <v>14</v>
      </c>
      <c r="M440" s="20" t="s">
        <v>50</v>
      </c>
    </row>
    <row r="441" customFormat="false" ht="15" hidden="false" customHeight="false" outlineLevel="0" collapsed="false">
      <c r="A441" s="20" t="s">
        <v>355</v>
      </c>
      <c r="B441" s="23" t="n">
        <v>45857</v>
      </c>
      <c r="C441" s="20" t="n">
        <f aca="false">MONTH(B441)</f>
        <v>7</v>
      </c>
      <c r="D441" s="20" t="s">
        <v>357</v>
      </c>
      <c r="E441" s="20" t="s">
        <v>109</v>
      </c>
      <c r="F441" s="20" t="s">
        <v>48</v>
      </c>
      <c r="G441" s="20" t="s">
        <v>116</v>
      </c>
      <c r="H441" s="20" t="n">
        <v>1</v>
      </c>
      <c r="I441" s="24" t="n">
        <v>28</v>
      </c>
      <c r="J441" s="24" t="n">
        <v>9</v>
      </c>
      <c r="K441" s="24" t="n">
        <f aca="false">H441*I441</f>
        <v>28</v>
      </c>
      <c r="L441" s="24" t="n">
        <f aca="false">K441-H441*J441</f>
        <v>19</v>
      </c>
      <c r="M441" s="20" t="s">
        <v>112</v>
      </c>
    </row>
    <row r="442" customFormat="false" ht="15" hidden="false" customHeight="false" outlineLevel="0" collapsed="false">
      <c r="A442" s="20" t="s">
        <v>1165</v>
      </c>
      <c r="B442" s="23" t="n">
        <v>45858</v>
      </c>
      <c r="C442" s="20" t="n">
        <f aca="false">MONTH(B442)</f>
        <v>7</v>
      </c>
      <c r="D442" s="20" t="s">
        <v>80</v>
      </c>
      <c r="E442" s="20" t="s">
        <v>47</v>
      </c>
      <c r="F442" s="20" t="s">
        <v>48</v>
      </c>
      <c r="G442" s="20" t="s">
        <v>49</v>
      </c>
      <c r="H442" s="20" t="n">
        <v>2</v>
      </c>
      <c r="I442" s="24" t="n">
        <v>18</v>
      </c>
      <c r="J442" s="24" t="n">
        <v>5</v>
      </c>
      <c r="K442" s="24" t="n">
        <f aca="false">H442*I442</f>
        <v>36</v>
      </c>
      <c r="L442" s="24" t="n">
        <f aca="false">K442-H442*J442</f>
        <v>26</v>
      </c>
      <c r="M442" s="20" t="s">
        <v>112</v>
      </c>
    </row>
    <row r="443" customFormat="false" ht="15" hidden="false" customHeight="false" outlineLevel="0" collapsed="false">
      <c r="A443" s="20" t="s">
        <v>870</v>
      </c>
      <c r="B443" s="23" t="n">
        <v>45858</v>
      </c>
      <c r="C443" s="20" t="n">
        <f aca="false">MONTH(B443)</f>
        <v>7</v>
      </c>
      <c r="D443" s="20" t="s">
        <v>245</v>
      </c>
      <c r="E443" s="20" t="s">
        <v>65</v>
      </c>
      <c r="F443" s="20" t="s">
        <v>48</v>
      </c>
      <c r="G443" s="20" t="s">
        <v>116</v>
      </c>
      <c r="H443" s="20" t="n">
        <v>2</v>
      </c>
      <c r="I443" s="24" t="n">
        <v>28</v>
      </c>
      <c r="J443" s="24" t="n">
        <v>9</v>
      </c>
      <c r="K443" s="24" t="n">
        <f aca="false">H443*I443</f>
        <v>56</v>
      </c>
      <c r="L443" s="24" t="n">
        <f aca="false">K443-H443*J443</f>
        <v>38</v>
      </c>
      <c r="M443" s="20" t="s">
        <v>50</v>
      </c>
    </row>
    <row r="444" customFormat="false" ht="15" hidden="false" customHeight="false" outlineLevel="0" collapsed="false">
      <c r="A444" s="20" t="s">
        <v>1176</v>
      </c>
      <c r="B444" s="23" t="n">
        <v>45858</v>
      </c>
      <c r="C444" s="20" t="n">
        <f aca="false">MONTH(B444)</f>
        <v>7</v>
      </c>
      <c r="D444" s="20" t="s">
        <v>177</v>
      </c>
      <c r="E444" s="20" t="s">
        <v>47</v>
      </c>
      <c r="F444" s="20" t="s">
        <v>110</v>
      </c>
      <c r="G444" s="20" t="s">
        <v>121</v>
      </c>
      <c r="H444" s="20" t="n">
        <v>1</v>
      </c>
      <c r="I444" s="24" t="n">
        <v>21</v>
      </c>
      <c r="J444" s="24" t="n">
        <v>7</v>
      </c>
      <c r="K444" s="24" t="n">
        <f aca="false">H444*I444</f>
        <v>21</v>
      </c>
      <c r="L444" s="24" t="n">
        <f aca="false">K444-H444*J444</f>
        <v>14</v>
      </c>
      <c r="M444" s="20" t="s">
        <v>50</v>
      </c>
    </row>
    <row r="445" customFormat="false" ht="15" hidden="false" customHeight="false" outlineLevel="0" collapsed="false">
      <c r="A445" s="20" t="s">
        <v>1228</v>
      </c>
      <c r="B445" s="23" t="n">
        <v>45859</v>
      </c>
      <c r="C445" s="20" t="n">
        <f aca="false">MONTH(B445)</f>
        <v>7</v>
      </c>
      <c r="D445" s="20" t="s">
        <v>233</v>
      </c>
      <c r="E445" s="20" t="s">
        <v>47</v>
      </c>
      <c r="F445" s="20" t="s">
        <v>48</v>
      </c>
      <c r="G445" s="20" t="s">
        <v>116</v>
      </c>
      <c r="H445" s="20" t="n">
        <v>1</v>
      </c>
      <c r="I445" s="24" t="n">
        <v>28</v>
      </c>
      <c r="J445" s="24" t="n">
        <v>9</v>
      </c>
      <c r="K445" s="24" t="n">
        <f aca="false">H445*I445</f>
        <v>28</v>
      </c>
      <c r="L445" s="24" t="n">
        <f aca="false">K445-H445*J445</f>
        <v>19</v>
      </c>
      <c r="M445" s="20" t="s">
        <v>50</v>
      </c>
    </row>
    <row r="446" customFormat="false" ht="15" hidden="false" customHeight="false" outlineLevel="0" collapsed="false">
      <c r="A446" s="20" t="s">
        <v>1539</v>
      </c>
      <c r="B446" s="23" t="n">
        <v>45859</v>
      </c>
      <c r="C446" s="20" t="n">
        <f aca="false">MONTH(B446)</f>
        <v>7</v>
      </c>
      <c r="D446" s="20" t="s">
        <v>348</v>
      </c>
      <c r="E446" s="20" t="s">
        <v>70</v>
      </c>
      <c r="F446" s="20" t="s">
        <v>92</v>
      </c>
      <c r="G446" s="20" t="s">
        <v>105</v>
      </c>
      <c r="H446" s="20" t="n">
        <v>3</v>
      </c>
      <c r="I446" s="24" t="n">
        <v>49</v>
      </c>
      <c r="J446" s="24" t="n">
        <v>22</v>
      </c>
      <c r="K446" s="24" t="n">
        <f aca="false">H446*I446</f>
        <v>147</v>
      </c>
      <c r="L446" s="24" t="n">
        <f aca="false">K446-H446*J446</f>
        <v>81</v>
      </c>
      <c r="M446" s="20" t="s">
        <v>50</v>
      </c>
    </row>
    <row r="447" customFormat="false" ht="15" hidden="false" customHeight="false" outlineLevel="0" collapsed="false">
      <c r="A447" s="20" t="s">
        <v>1512</v>
      </c>
      <c r="B447" s="23" t="n">
        <v>45860</v>
      </c>
      <c r="C447" s="20" t="n">
        <f aca="false">MONTH(B447)</f>
        <v>7</v>
      </c>
      <c r="D447" s="20" t="s">
        <v>548</v>
      </c>
      <c r="E447" s="20" t="s">
        <v>65</v>
      </c>
      <c r="F447" s="20" t="s">
        <v>92</v>
      </c>
      <c r="G447" s="20" t="s">
        <v>196</v>
      </c>
      <c r="H447" s="20" t="n">
        <v>2</v>
      </c>
      <c r="I447" s="24" t="n">
        <v>89</v>
      </c>
      <c r="J447" s="24" t="n">
        <v>41</v>
      </c>
      <c r="K447" s="24" t="n">
        <f aca="false">H447*I447</f>
        <v>178</v>
      </c>
      <c r="L447" s="24" t="n">
        <f aca="false">K447-H447*J447</f>
        <v>96</v>
      </c>
      <c r="M447" s="20" t="s">
        <v>112</v>
      </c>
    </row>
    <row r="448" customFormat="false" ht="15" hidden="false" customHeight="false" outlineLevel="0" collapsed="false">
      <c r="A448" s="20" t="s">
        <v>451</v>
      </c>
      <c r="B448" s="23" t="n">
        <v>45860</v>
      </c>
      <c r="C448" s="20" t="n">
        <f aca="false">MONTH(B448)</f>
        <v>7</v>
      </c>
      <c r="D448" s="20" t="s">
        <v>412</v>
      </c>
      <c r="E448" s="20" t="s">
        <v>47</v>
      </c>
      <c r="F448" s="20" t="s">
        <v>110</v>
      </c>
      <c r="G448" s="20" t="s">
        <v>111</v>
      </c>
      <c r="H448" s="20" t="n">
        <v>1</v>
      </c>
      <c r="I448" s="24" t="n">
        <v>16</v>
      </c>
      <c r="J448" s="24" t="n">
        <v>5</v>
      </c>
      <c r="K448" s="24" t="n">
        <f aca="false">H448*I448</f>
        <v>16</v>
      </c>
      <c r="L448" s="24" t="n">
        <f aca="false">K448-H448*J448</f>
        <v>11</v>
      </c>
      <c r="M448" s="20" t="s">
        <v>50</v>
      </c>
    </row>
    <row r="449" customFormat="false" ht="15" hidden="false" customHeight="false" outlineLevel="0" collapsed="false">
      <c r="A449" s="20" t="s">
        <v>78</v>
      </c>
      <c r="B449" s="23" t="n">
        <v>45860</v>
      </c>
      <c r="C449" s="20" t="n">
        <f aca="false">MONTH(B449)</f>
        <v>7</v>
      </c>
      <c r="D449" s="20" t="s">
        <v>80</v>
      </c>
      <c r="E449" s="20" t="s">
        <v>47</v>
      </c>
      <c r="F449" s="20" t="s">
        <v>81</v>
      </c>
      <c r="G449" s="20" t="s">
        <v>82</v>
      </c>
      <c r="H449" s="20" t="n">
        <v>1</v>
      </c>
      <c r="I449" s="24" t="n">
        <v>22</v>
      </c>
      <c r="J449" s="24" t="n">
        <v>8</v>
      </c>
      <c r="K449" s="24" t="n">
        <f aca="false">H449*I449</f>
        <v>22</v>
      </c>
      <c r="L449" s="24" t="n">
        <f aca="false">K449-H449*J449</f>
        <v>14</v>
      </c>
      <c r="M449" s="20" t="s">
        <v>50</v>
      </c>
    </row>
    <row r="450" customFormat="false" ht="15" hidden="false" customHeight="false" outlineLevel="0" collapsed="false">
      <c r="A450" s="20" t="s">
        <v>583</v>
      </c>
      <c r="B450" s="23" t="n">
        <v>45861</v>
      </c>
      <c r="C450" s="20" t="n">
        <f aca="false">MONTH(B450)</f>
        <v>7</v>
      </c>
      <c r="D450" s="20" t="s">
        <v>323</v>
      </c>
      <c r="E450" s="20" t="s">
        <v>59</v>
      </c>
      <c r="F450" s="20" t="s">
        <v>54</v>
      </c>
      <c r="G450" s="20" t="s">
        <v>72</v>
      </c>
      <c r="H450" s="20" t="n">
        <v>1</v>
      </c>
      <c r="I450" s="24" t="n">
        <v>24</v>
      </c>
      <c r="J450" s="24" t="n">
        <v>9</v>
      </c>
      <c r="K450" s="24" t="n">
        <f aca="false">H450*I450</f>
        <v>24</v>
      </c>
      <c r="L450" s="24" t="n">
        <f aca="false">K450-H450*J450</f>
        <v>15</v>
      </c>
      <c r="M450" s="20" t="s">
        <v>50</v>
      </c>
    </row>
    <row r="451" customFormat="false" ht="15" hidden="false" customHeight="false" outlineLevel="0" collapsed="false">
      <c r="A451" s="20" t="s">
        <v>786</v>
      </c>
      <c r="B451" s="23" t="n">
        <v>45862</v>
      </c>
      <c r="C451" s="20" t="n">
        <f aca="false">MONTH(B451)</f>
        <v>7</v>
      </c>
      <c r="D451" s="20" t="s">
        <v>502</v>
      </c>
      <c r="E451" s="20" t="s">
        <v>109</v>
      </c>
      <c r="F451" s="20" t="s">
        <v>81</v>
      </c>
      <c r="G451" s="20" t="s">
        <v>82</v>
      </c>
      <c r="H451" s="20" t="n">
        <v>1</v>
      </c>
      <c r="I451" s="24" t="n">
        <v>22</v>
      </c>
      <c r="J451" s="24" t="n">
        <v>8</v>
      </c>
      <c r="K451" s="24" t="n">
        <f aca="false">H451*I451</f>
        <v>22</v>
      </c>
      <c r="L451" s="24" t="n">
        <f aca="false">K451-H451*J451</f>
        <v>14</v>
      </c>
      <c r="M451" s="20" t="s">
        <v>50</v>
      </c>
    </row>
    <row r="452" customFormat="false" ht="15" hidden="false" customHeight="false" outlineLevel="0" collapsed="false">
      <c r="A452" s="20" t="s">
        <v>1467</v>
      </c>
      <c r="B452" s="23" t="n">
        <v>45862</v>
      </c>
      <c r="C452" s="20" t="n">
        <f aca="false">MONTH(B452)</f>
        <v>7</v>
      </c>
      <c r="D452" s="20" t="s">
        <v>278</v>
      </c>
      <c r="E452" s="20" t="s">
        <v>65</v>
      </c>
      <c r="F452" s="20" t="s">
        <v>54</v>
      </c>
      <c r="G452" s="20" t="s">
        <v>55</v>
      </c>
      <c r="H452" s="20" t="n">
        <v>1</v>
      </c>
      <c r="I452" s="24" t="n">
        <v>38</v>
      </c>
      <c r="J452" s="24" t="n">
        <v>16</v>
      </c>
      <c r="K452" s="24" t="n">
        <f aca="false">H452*I452</f>
        <v>38</v>
      </c>
      <c r="L452" s="24" t="n">
        <f aca="false">K452-H452*J452</f>
        <v>22</v>
      </c>
      <c r="M452" s="20" t="s">
        <v>50</v>
      </c>
    </row>
    <row r="453" customFormat="false" ht="15" hidden="false" customHeight="false" outlineLevel="0" collapsed="false">
      <c r="A453" s="20" t="s">
        <v>1629</v>
      </c>
      <c r="B453" s="23" t="n">
        <v>45863</v>
      </c>
      <c r="C453" s="20" t="n">
        <f aca="false">MONTH(B453)</f>
        <v>7</v>
      </c>
      <c r="D453" s="20" t="s">
        <v>52</v>
      </c>
      <c r="E453" s="20" t="s">
        <v>65</v>
      </c>
      <c r="F453" s="20" t="s">
        <v>81</v>
      </c>
      <c r="G453" s="20" t="s">
        <v>67</v>
      </c>
      <c r="H453" s="20" t="n">
        <v>1</v>
      </c>
      <c r="I453" s="24" t="n">
        <v>45</v>
      </c>
      <c r="J453" s="24" t="n">
        <v>17</v>
      </c>
      <c r="K453" s="24" t="n">
        <f aca="false">H453*I453</f>
        <v>45</v>
      </c>
      <c r="L453" s="24" t="n">
        <f aca="false">K453-H453*J453</f>
        <v>28</v>
      </c>
      <c r="M453" s="20" t="s">
        <v>50</v>
      </c>
    </row>
    <row r="454" customFormat="false" ht="15" hidden="false" customHeight="false" outlineLevel="0" collapsed="false">
      <c r="A454" s="20" t="s">
        <v>1281</v>
      </c>
      <c r="B454" s="23" t="n">
        <v>45864</v>
      </c>
      <c r="C454" s="20" t="n">
        <f aca="false">MONTH(B454)</f>
        <v>7</v>
      </c>
      <c r="D454" s="20" t="s">
        <v>392</v>
      </c>
      <c r="E454" s="20" t="s">
        <v>59</v>
      </c>
      <c r="F454" s="20" t="s">
        <v>81</v>
      </c>
      <c r="G454" s="20" t="s">
        <v>67</v>
      </c>
      <c r="H454" s="20" t="n">
        <v>3</v>
      </c>
      <c r="I454" s="24" t="n">
        <v>45</v>
      </c>
      <c r="J454" s="24" t="n">
        <v>17</v>
      </c>
      <c r="K454" s="24" t="n">
        <f aca="false">H454*I454</f>
        <v>135</v>
      </c>
      <c r="L454" s="24" t="n">
        <f aca="false">K454-H454*J454</f>
        <v>84</v>
      </c>
      <c r="M454" s="20" t="s">
        <v>112</v>
      </c>
    </row>
    <row r="455" customFormat="false" ht="15" hidden="false" customHeight="false" outlineLevel="0" collapsed="false">
      <c r="A455" s="20" t="s">
        <v>440</v>
      </c>
      <c r="B455" s="23" t="n">
        <v>45864</v>
      </c>
      <c r="C455" s="20" t="n">
        <f aca="false">MONTH(B455)</f>
        <v>7</v>
      </c>
      <c r="D455" s="20" t="s">
        <v>442</v>
      </c>
      <c r="E455" s="20" t="s">
        <v>59</v>
      </c>
      <c r="F455" s="20" t="s">
        <v>54</v>
      </c>
      <c r="G455" s="20" t="s">
        <v>76</v>
      </c>
      <c r="H455" s="20" t="n">
        <v>4</v>
      </c>
      <c r="I455" s="24" t="n">
        <v>32</v>
      </c>
      <c r="J455" s="24" t="n">
        <v>13</v>
      </c>
      <c r="K455" s="24" t="n">
        <f aca="false">H455*I455</f>
        <v>128</v>
      </c>
      <c r="L455" s="24" t="n">
        <f aca="false">K455-H455*J455</f>
        <v>76</v>
      </c>
      <c r="M455" s="20" t="s">
        <v>50</v>
      </c>
    </row>
    <row r="456" customFormat="false" ht="15" hidden="false" customHeight="false" outlineLevel="0" collapsed="false">
      <c r="A456" s="20" t="s">
        <v>916</v>
      </c>
      <c r="B456" s="23" t="n">
        <v>45864</v>
      </c>
      <c r="C456" s="20" t="n">
        <f aca="false">MONTH(B456)</f>
        <v>7</v>
      </c>
      <c r="D456" s="20" t="s">
        <v>227</v>
      </c>
      <c r="E456" s="20" t="s">
        <v>59</v>
      </c>
      <c r="F456" s="20" t="s">
        <v>48</v>
      </c>
      <c r="G456" s="20" t="s">
        <v>144</v>
      </c>
      <c r="H456" s="20" t="n">
        <v>1</v>
      </c>
      <c r="I456" s="24" t="n">
        <v>54</v>
      </c>
      <c r="J456" s="24" t="n">
        <v>24</v>
      </c>
      <c r="K456" s="24" t="n">
        <f aca="false">H456*I456</f>
        <v>54</v>
      </c>
      <c r="L456" s="24" t="n">
        <f aca="false">K456-H456*J456</f>
        <v>30</v>
      </c>
      <c r="M456" s="20" t="s">
        <v>50</v>
      </c>
    </row>
    <row r="457" customFormat="false" ht="15" hidden="false" customHeight="false" outlineLevel="0" collapsed="false">
      <c r="A457" s="20" t="s">
        <v>1316</v>
      </c>
      <c r="B457" s="23" t="n">
        <v>45864</v>
      </c>
      <c r="C457" s="20" t="n">
        <f aca="false">MONTH(B457)</f>
        <v>7</v>
      </c>
      <c r="D457" s="20" t="s">
        <v>192</v>
      </c>
      <c r="E457" s="20" t="s">
        <v>47</v>
      </c>
      <c r="F457" s="20" t="s">
        <v>110</v>
      </c>
      <c r="G457" s="20" t="s">
        <v>111</v>
      </c>
      <c r="H457" s="20" t="n">
        <v>1</v>
      </c>
      <c r="I457" s="24" t="n">
        <v>16</v>
      </c>
      <c r="J457" s="24" t="n">
        <v>5</v>
      </c>
      <c r="K457" s="24" t="n">
        <f aca="false">H457*I457</f>
        <v>16</v>
      </c>
      <c r="L457" s="24" t="n">
        <f aca="false">K457-H457*J457</f>
        <v>11</v>
      </c>
      <c r="M457" s="20" t="s">
        <v>50</v>
      </c>
    </row>
    <row r="458" customFormat="false" ht="15" hidden="false" customHeight="false" outlineLevel="0" collapsed="false">
      <c r="A458" s="20" t="s">
        <v>972</v>
      </c>
      <c r="B458" s="23" t="n">
        <v>45864</v>
      </c>
      <c r="C458" s="20" t="n">
        <f aca="false">MONTH(B458)</f>
        <v>7</v>
      </c>
      <c r="D458" s="20" t="s">
        <v>75</v>
      </c>
      <c r="E458" s="20" t="s">
        <v>47</v>
      </c>
      <c r="F458" s="20" t="s">
        <v>81</v>
      </c>
      <c r="G458" s="20" t="s">
        <v>82</v>
      </c>
      <c r="H458" s="20" t="n">
        <v>2</v>
      </c>
      <c r="I458" s="24" t="n">
        <v>22</v>
      </c>
      <c r="J458" s="24" t="n">
        <v>8</v>
      </c>
      <c r="K458" s="24" t="n">
        <f aca="false">H458*I458</f>
        <v>44</v>
      </c>
      <c r="L458" s="24" t="n">
        <f aca="false">K458-H458*J458</f>
        <v>28</v>
      </c>
      <c r="M458" s="20" t="s">
        <v>50</v>
      </c>
    </row>
    <row r="459" customFormat="false" ht="15" hidden="false" customHeight="false" outlineLevel="0" collapsed="false">
      <c r="A459" s="20" t="s">
        <v>265</v>
      </c>
      <c r="B459" s="23" t="n">
        <v>45865</v>
      </c>
      <c r="C459" s="20" t="n">
        <f aca="false">MONTH(B459)</f>
        <v>7</v>
      </c>
      <c r="D459" s="20" t="s">
        <v>161</v>
      </c>
      <c r="E459" s="20" t="s">
        <v>65</v>
      </c>
      <c r="F459" s="20" t="s">
        <v>92</v>
      </c>
      <c r="G459" s="20" t="s">
        <v>105</v>
      </c>
      <c r="H459" s="20" t="n">
        <v>1</v>
      </c>
      <c r="I459" s="24" t="n">
        <v>49</v>
      </c>
      <c r="J459" s="24" t="n">
        <v>22</v>
      </c>
      <c r="K459" s="24" t="n">
        <f aca="false">H459*I459</f>
        <v>49</v>
      </c>
      <c r="L459" s="24" t="n">
        <f aca="false">K459-H459*J459</f>
        <v>27</v>
      </c>
      <c r="M459" s="20" t="s">
        <v>50</v>
      </c>
    </row>
    <row r="460" customFormat="false" ht="15" hidden="false" customHeight="false" outlineLevel="0" collapsed="false">
      <c r="A460" s="20" t="s">
        <v>950</v>
      </c>
      <c r="B460" s="23" t="n">
        <v>45866</v>
      </c>
      <c r="C460" s="20" t="n">
        <f aca="false">MONTH(B460)</f>
        <v>7</v>
      </c>
      <c r="D460" s="20" t="s">
        <v>326</v>
      </c>
      <c r="E460" s="20" t="s">
        <v>59</v>
      </c>
      <c r="F460" s="20" t="s">
        <v>110</v>
      </c>
      <c r="G460" s="20" t="s">
        <v>121</v>
      </c>
      <c r="H460" s="20" t="n">
        <v>2</v>
      </c>
      <c r="I460" s="24" t="n">
        <v>21</v>
      </c>
      <c r="J460" s="24" t="n">
        <v>7</v>
      </c>
      <c r="K460" s="24" t="n">
        <f aca="false">H460*I460</f>
        <v>42</v>
      </c>
      <c r="L460" s="24" t="n">
        <f aca="false">K460-H460*J460</f>
        <v>28</v>
      </c>
      <c r="M460" s="20" t="s">
        <v>50</v>
      </c>
    </row>
    <row r="461" customFormat="false" ht="15" hidden="false" customHeight="false" outlineLevel="0" collapsed="false">
      <c r="A461" s="20" t="s">
        <v>1411</v>
      </c>
      <c r="B461" s="23" t="n">
        <v>45866</v>
      </c>
      <c r="C461" s="20" t="n">
        <f aca="false">MONTH(B461)</f>
        <v>7</v>
      </c>
      <c r="D461" s="20" t="s">
        <v>925</v>
      </c>
      <c r="E461" s="20" t="s">
        <v>109</v>
      </c>
      <c r="F461" s="20" t="s">
        <v>81</v>
      </c>
      <c r="G461" s="20" t="s">
        <v>82</v>
      </c>
      <c r="H461" s="20" t="n">
        <v>1</v>
      </c>
      <c r="I461" s="24" t="n">
        <v>22</v>
      </c>
      <c r="J461" s="24" t="n">
        <v>8</v>
      </c>
      <c r="K461" s="24" t="n">
        <f aca="false">H461*I461</f>
        <v>22</v>
      </c>
      <c r="L461" s="24" t="n">
        <f aca="false">K461-H461*J461</f>
        <v>14</v>
      </c>
      <c r="M461" s="20" t="s">
        <v>50</v>
      </c>
    </row>
    <row r="462" customFormat="false" ht="15" hidden="false" customHeight="false" outlineLevel="0" collapsed="false">
      <c r="A462" s="20" t="s">
        <v>425</v>
      </c>
      <c r="B462" s="23" t="n">
        <v>45870</v>
      </c>
      <c r="C462" s="20" t="n">
        <f aca="false">MONTH(B462)</f>
        <v>8</v>
      </c>
      <c r="D462" s="20" t="s">
        <v>323</v>
      </c>
      <c r="E462" s="20" t="s">
        <v>59</v>
      </c>
      <c r="F462" s="20" t="s">
        <v>92</v>
      </c>
      <c r="G462" s="20" t="s">
        <v>196</v>
      </c>
      <c r="H462" s="20" t="n">
        <v>2</v>
      </c>
      <c r="I462" s="24" t="n">
        <v>89</v>
      </c>
      <c r="J462" s="24" t="n">
        <v>41</v>
      </c>
      <c r="K462" s="24" t="n">
        <f aca="false">H462*I462</f>
        <v>178</v>
      </c>
      <c r="L462" s="24" t="n">
        <f aca="false">K462-H462*J462</f>
        <v>96</v>
      </c>
      <c r="M462" s="20" t="s">
        <v>112</v>
      </c>
    </row>
    <row r="463" customFormat="false" ht="15" hidden="false" customHeight="false" outlineLevel="0" collapsed="false">
      <c r="A463" s="20" t="s">
        <v>1665</v>
      </c>
      <c r="B463" s="23" t="n">
        <v>45870</v>
      </c>
      <c r="C463" s="20" t="n">
        <f aca="false">MONTH(B463)</f>
        <v>8</v>
      </c>
      <c r="D463" s="20" t="s">
        <v>245</v>
      </c>
      <c r="E463" s="20" t="s">
        <v>70</v>
      </c>
      <c r="F463" s="20" t="s">
        <v>110</v>
      </c>
      <c r="G463" s="20" t="s">
        <v>111</v>
      </c>
      <c r="H463" s="20" t="n">
        <v>1</v>
      </c>
      <c r="I463" s="24" t="n">
        <v>16</v>
      </c>
      <c r="J463" s="24" t="n">
        <v>5</v>
      </c>
      <c r="K463" s="24" t="n">
        <f aca="false">H463*I463</f>
        <v>16</v>
      </c>
      <c r="L463" s="24" t="n">
        <f aca="false">K463-H463*J463</f>
        <v>11</v>
      </c>
      <c r="M463" s="20" t="s">
        <v>50</v>
      </c>
    </row>
    <row r="464" customFormat="false" ht="15" hidden="false" customHeight="false" outlineLevel="0" collapsed="false">
      <c r="A464" s="20" t="s">
        <v>237</v>
      </c>
      <c r="B464" s="23" t="n">
        <v>45870</v>
      </c>
      <c r="C464" s="20" t="n">
        <f aca="false">MONTH(B464)</f>
        <v>8</v>
      </c>
      <c r="D464" s="20" t="s">
        <v>239</v>
      </c>
      <c r="E464" s="20" t="s">
        <v>47</v>
      </c>
      <c r="F464" s="20" t="s">
        <v>92</v>
      </c>
      <c r="G464" s="20" t="s">
        <v>105</v>
      </c>
      <c r="H464" s="20" t="n">
        <v>1</v>
      </c>
      <c r="I464" s="24" t="n">
        <v>49</v>
      </c>
      <c r="J464" s="24" t="n">
        <v>22</v>
      </c>
      <c r="K464" s="24" t="n">
        <f aca="false">H464*I464</f>
        <v>49</v>
      </c>
      <c r="L464" s="24" t="n">
        <f aca="false">K464-H464*J464</f>
        <v>27</v>
      </c>
      <c r="M464" s="20" t="s">
        <v>50</v>
      </c>
    </row>
    <row r="465" customFormat="false" ht="15" hidden="false" customHeight="false" outlineLevel="0" collapsed="false">
      <c r="A465" s="20" t="s">
        <v>553</v>
      </c>
      <c r="B465" s="23" t="n">
        <v>45870</v>
      </c>
      <c r="C465" s="20" t="n">
        <f aca="false">MONTH(B465)</f>
        <v>8</v>
      </c>
      <c r="D465" s="20" t="s">
        <v>64</v>
      </c>
      <c r="E465" s="20" t="s">
        <v>70</v>
      </c>
      <c r="F465" s="20" t="s">
        <v>81</v>
      </c>
      <c r="G465" s="20" t="s">
        <v>67</v>
      </c>
      <c r="H465" s="20" t="n">
        <v>4</v>
      </c>
      <c r="I465" s="24" t="n">
        <v>45</v>
      </c>
      <c r="J465" s="24" t="n">
        <v>17</v>
      </c>
      <c r="K465" s="24" t="n">
        <f aca="false">H465*I465</f>
        <v>180</v>
      </c>
      <c r="L465" s="24" t="n">
        <f aca="false">K465-H465*J465</f>
        <v>112</v>
      </c>
      <c r="M465" s="20" t="s">
        <v>50</v>
      </c>
    </row>
    <row r="466" customFormat="false" ht="15" hidden="false" customHeight="false" outlineLevel="0" collapsed="false">
      <c r="A466" s="20" t="s">
        <v>1651</v>
      </c>
      <c r="B466" s="23" t="n">
        <v>45871</v>
      </c>
      <c r="C466" s="20" t="n">
        <f aca="false">MONTH(B466)</f>
        <v>8</v>
      </c>
      <c r="D466" s="20" t="s">
        <v>296</v>
      </c>
      <c r="E466" s="20" t="s">
        <v>70</v>
      </c>
      <c r="F466" s="20" t="s">
        <v>48</v>
      </c>
      <c r="G466" s="20" t="s">
        <v>116</v>
      </c>
      <c r="H466" s="20" t="n">
        <v>1</v>
      </c>
      <c r="I466" s="24" t="n">
        <v>28</v>
      </c>
      <c r="J466" s="24" t="n">
        <v>9</v>
      </c>
      <c r="K466" s="24" t="n">
        <f aca="false">H466*I466</f>
        <v>28</v>
      </c>
      <c r="L466" s="24" t="n">
        <f aca="false">K466-H466*J466</f>
        <v>19</v>
      </c>
      <c r="M466" s="20" t="s">
        <v>50</v>
      </c>
    </row>
    <row r="467" customFormat="false" ht="15" hidden="false" customHeight="false" outlineLevel="0" collapsed="false">
      <c r="A467" s="20" t="s">
        <v>246</v>
      </c>
      <c r="B467" s="23" t="n">
        <v>45871</v>
      </c>
      <c r="C467" s="20" t="n">
        <f aca="false">MONTH(B467)</f>
        <v>8</v>
      </c>
      <c r="D467" s="20" t="s">
        <v>248</v>
      </c>
      <c r="E467" s="20" t="s">
        <v>47</v>
      </c>
      <c r="F467" s="20" t="s">
        <v>110</v>
      </c>
      <c r="G467" s="20" t="s">
        <v>111</v>
      </c>
      <c r="H467" s="20" t="n">
        <v>1</v>
      </c>
      <c r="I467" s="24" t="n">
        <v>16</v>
      </c>
      <c r="J467" s="24" t="n">
        <v>5</v>
      </c>
      <c r="K467" s="24" t="n">
        <f aca="false">H467*I467</f>
        <v>16</v>
      </c>
      <c r="L467" s="24" t="n">
        <f aca="false">K467-H467*J467</f>
        <v>11</v>
      </c>
      <c r="M467" s="20" t="s">
        <v>50</v>
      </c>
    </row>
    <row r="468" customFormat="false" ht="15" hidden="false" customHeight="false" outlineLevel="0" collapsed="false">
      <c r="A468" s="20" t="s">
        <v>1364</v>
      </c>
      <c r="B468" s="23" t="n">
        <v>45871</v>
      </c>
      <c r="C468" s="20" t="n">
        <f aca="false">MONTH(B468)</f>
        <v>8</v>
      </c>
      <c r="D468" s="20" t="s">
        <v>1197</v>
      </c>
      <c r="E468" s="20" t="s">
        <v>47</v>
      </c>
      <c r="F468" s="20" t="s">
        <v>81</v>
      </c>
      <c r="G468" s="20" t="s">
        <v>67</v>
      </c>
      <c r="H468" s="20" t="n">
        <v>1</v>
      </c>
      <c r="I468" s="24" t="n">
        <v>45</v>
      </c>
      <c r="J468" s="24" t="n">
        <v>17</v>
      </c>
      <c r="K468" s="24" t="n">
        <f aca="false">H468*I468</f>
        <v>45</v>
      </c>
      <c r="L468" s="24" t="n">
        <f aca="false">K468-H468*J468</f>
        <v>28</v>
      </c>
      <c r="M468" s="20" t="s">
        <v>50</v>
      </c>
    </row>
    <row r="469" customFormat="false" ht="15" hidden="false" customHeight="false" outlineLevel="0" collapsed="false">
      <c r="A469" s="20" t="s">
        <v>1072</v>
      </c>
      <c r="B469" s="23" t="n">
        <v>45871</v>
      </c>
      <c r="C469" s="20" t="n">
        <f aca="false">MONTH(B469)</f>
        <v>8</v>
      </c>
      <c r="D469" s="20" t="s">
        <v>296</v>
      </c>
      <c r="E469" s="20" t="s">
        <v>47</v>
      </c>
      <c r="F469" s="20" t="s">
        <v>110</v>
      </c>
      <c r="G469" s="20" t="s">
        <v>236</v>
      </c>
      <c r="H469" s="20" t="n">
        <v>1</v>
      </c>
      <c r="I469" s="24" t="n">
        <v>30</v>
      </c>
      <c r="J469" s="24" t="n">
        <v>11</v>
      </c>
      <c r="K469" s="24" t="n">
        <f aca="false">H469*I469</f>
        <v>30</v>
      </c>
      <c r="L469" s="24" t="n">
        <f aca="false">K469-H469*J469</f>
        <v>19</v>
      </c>
      <c r="M469" s="20" t="s">
        <v>50</v>
      </c>
    </row>
    <row r="470" customFormat="false" ht="15" hidden="false" customHeight="false" outlineLevel="0" collapsed="false">
      <c r="A470" s="20" t="s">
        <v>524</v>
      </c>
      <c r="B470" s="23" t="n">
        <v>45871</v>
      </c>
      <c r="C470" s="20" t="n">
        <f aca="false">MONTH(B470)</f>
        <v>8</v>
      </c>
      <c r="D470" s="20" t="s">
        <v>526</v>
      </c>
      <c r="E470" s="20" t="s">
        <v>47</v>
      </c>
      <c r="F470" s="20" t="s">
        <v>54</v>
      </c>
      <c r="G470" s="20" t="s">
        <v>55</v>
      </c>
      <c r="H470" s="20" t="n">
        <v>2</v>
      </c>
      <c r="I470" s="24" t="n">
        <v>38</v>
      </c>
      <c r="J470" s="24" t="n">
        <v>16</v>
      </c>
      <c r="K470" s="24" t="n">
        <f aca="false">H470*I470</f>
        <v>76</v>
      </c>
      <c r="L470" s="24" t="n">
        <f aca="false">K470-H470*J470</f>
        <v>44</v>
      </c>
      <c r="M470" s="20" t="s">
        <v>50</v>
      </c>
    </row>
    <row r="471" customFormat="false" ht="15" hidden="false" customHeight="false" outlineLevel="0" collapsed="false">
      <c r="A471" s="20" t="s">
        <v>1417</v>
      </c>
      <c r="B471" s="23" t="n">
        <v>45871</v>
      </c>
      <c r="C471" s="20" t="n">
        <f aca="false">MONTH(B471)</f>
        <v>8</v>
      </c>
      <c r="D471" s="20" t="s">
        <v>214</v>
      </c>
      <c r="E471" s="20" t="s">
        <v>59</v>
      </c>
      <c r="F471" s="20" t="s">
        <v>92</v>
      </c>
      <c r="G471" s="20" t="s">
        <v>105</v>
      </c>
      <c r="H471" s="20" t="n">
        <v>1</v>
      </c>
      <c r="I471" s="24" t="n">
        <v>49</v>
      </c>
      <c r="J471" s="24" t="n">
        <v>22</v>
      </c>
      <c r="K471" s="24" t="n">
        <f aca="false">H471*I471</f>
        <v>49</v>
      </c>
      <c r="L471" s="24" t="n">
        <f aca="false">K471-H471*J471</f>
        <v>27</v>
      </c>
      <c r="M471" s="20" t="s">
        <v>50</v>
      </c>
    </row>
    <row r="472" customFormat="false" ht="15" hidden="false" customHeight="false" outlineLevel="0" collapsed="false">
      <c r="A472" s="20" t="s">
        <v>385</v>
      </c>
      <c r="B472" s="23" t="n">
        <v>45873</v>
      </c>
      <c r="C472" s="20" t="n">
        <f aca="false">MONTH(B472)</f>
        <v>8</v>
      </c>
      <c r="D472" s="20" t="s">
        <v>387</v>
      </c>
      <c r="E472" s="20" t="s">
        <v>47</v>
      </c>
      <c r="F472" s="20" t="s">
        <v>92</v>
      </c>
      <c r="G472" s="20" t="s">
        <v>196</v>
      </c>
      <c r="H472" s="20" t="n">
        <v>1</v>
      </c>
      <c r="I472" s="24" t="n">
        <v>89</v>
      </c>
      <c r="J472" s="24" t="n">
        <v>41</v>
      </c>
      <c r="K472" s="24" t="n">
        <f aca="false">H472*I472</f>
        <v>89</v>
      </c>
      <c r="L472" s="24" t="n">
        <f aca="false">K472-H472*J472</f>
        <v>48</v>
      </c>
      <c r="M472" s="20" t="s">
        <v>50</v>
      </c>
    </row>
    <row r="473" customFormat="false" ht="15" hidden="false" customHeight="false" outlineLevel="0" collapsed="false">
      <c r="A473" s="20" t="s">
        <v>225</v>
      </c>
      <c r="B473" s="23" t="n">
        <v>45873</v>
      </c>
      <c r="C473" s="20" t="n">
        <f aca="false">MONTH(B473)</f>
        <v>8</v>
      </c>
      <c r="D473" s="20" t="s">
        <v>227</v>
      </c>
      <c r="E473" s="20" t="s">
        <v>47</v>
      </c>
      <c r="F473" s="20" t="s">
        <v>48</v>
      </c>
      <c r="G473" s="20" t="s">
        <v>144</v>
      </c>
      <c r="H473" s="20" t="n">
        <v>1</v>
      </c>
      <c r="I473" s="24" t="n">
        <v>54</v>
      </c>
      <c r="J473" s="24" t="n">
        <v>24</v>
      </c>
      <c r="K473" s="24" t="n">
        <f aca="false">H473*I473</f>
        <v>54</v>
      </c>
      <c r="L473" s="24" t="n">
        <f aca="false">K473-H473*J473</f>
        <v>30</v>
      </c>
      <c r="M473" s="20" t="s">
        <v>50</v>
      </c>
    </row>
    <row r="474" customFormat="false" ht="15" hidden="false" customHeight="false" outlineLevel="0" collapsed="false">
      <c r="A474" s="20" t="s">
        <v>1402</v>
      </c>
      <c r="B474" s="23" t="n">
        <v>45873</v>
      </c>
      <c r="C474" s="20" t="n">
        <f aca="false">MONTH(B474)</f>
        <v>8</v>
      </c>
      <c r="D474" s="20" t="s">
        <v>192</v>
      </c>
      <c r="E474" s="20" t="s">
        <v>70</v>
      </c>
      <c r="F474" s="20" t="s">
        <v>110</v>
      </c>
      <c r="G474" s="20" t="s">
        <v>111</v>
      </c>
      <c r="H474" s="20" t="n">
        <v>2</v>
      </c>
      <c r="I474" s="24" t="n">
        <v>16</v>
      </c>
      <c r="J474" s="24" t="n">
        <v>5</v>
      </c>
      <c r="K474" s="24" t="n">
        <f aca="false">H474*I474</f>
        <v>32</v>
      </c>
      <c r="L474" s="24" t="n">
        <f aca="false">K474-H474*J474</f>
        <v>22</v>
      </c>
      <c r="M474" s="20" t="s">
        <v>50</v>
      </c>
    </row>
    <row r="475" customFormat="false" ht="15" hidden="false" customHeight="false" outlineLevel="0" collapsed="false">
      <c r="A475" s="20" t="s">
        <v>1162</v>
      </c>
      <c r="B475" s="23" t="n">
        <v>45873</v>
      </c>
      <c r="C475" s="20" t="n">
        <f aca="false">MONTH(B475)</f>
        <v>8</v>
      </c>
      <c r="D475" s="20" t="s">
        <v>115</v>
      </c>
      <c r="E475" s="20" t="s">
        <v>59</v>
      </c>
      <c r="F475" s="20" t="s">
        <v>81</v>
      </c>
      <c r="G475" s="20" t="s">
        <v>82</v>
      </c>
      <c r="H475" s="20" t="n">
        <v>1</v>
      </c>
      <c r="I475" s="24" t="n">
        <v>22</v>
      </c>
      <c r="J475" s="24" t="n">
        <v>8</v>
      </c>
      <c r="K475" s="24" t="n">
        <f aca="false">H475*I475</f>
        <v>22</v>
      </c>
      <c r="L475" s="24" t="n">
        <f aca="false">K475-H475*J475</f>
        <v>14</v>
      </c>
      <c r="M475" s="20" t="s">
        <v>50</v>
      </c>
    </row>
    <row r="476" customFormat="false" ht="15" hidden="false" customHeight="false" outlineLevel="0" collapsed="false">
      <c r="A476" s="20" t="s">
        <v>1511</v>
      </c>
      <c r="B476" s="23" t="n">
        <v>45874</v>
      </c>
      <c r="C476" s="20" t="n">
        <f aca="false">MONTH(B476)</f>
        <v>8</v>
      </c>
      <c r="D476" s="20" t="s">
        <v>934</v>
      </c>
      <c r="E476" s="20" t="s">
        <v>70</v>
      </c>
      <c r="F476" s="20" t="s">
        <v>81</v>
      </c>
      <c r="G476" s="20" t="s">
        <v>82</v>
      </c>
      <c r="H476" s="20" t="n">
        <v>1</v>
      </c>
      <c r="I476" s="24" t="n">
        <v>22</v>
      </c>
      <c r="J476" s="24" t="n">
        <v>8</v>
      </c>
      <c r="K476" s="24" t="n">
        <f aca="false">H476*I476</f>
        <v>22</v>
      </c>
      <c r="L476" s="24" t="n">
        <f aca="false">K476-H476*J476</f>
        <v>14</v>
      </c>
      <c r="M476" s="20" t="s">
        <v>50</v>
      </c>
    </row>
    <row r="477" customFormat="false" ht="15" hidden="false" customHeight="false" outlineLevel="0" collapsed="false">
      <c r="A477" s="20" t="s">
        <v>276</v>
      </c>
      <c r="B477" s="23" t="n">
        <v>45874</v>
      </c>
      <c r="C477" s="20" t="n">
        <f aca="false">MONTH(B477)</f>
        <v>8</v>
      </c>
      <c r="D477" s="20" t="s">
        <v>278</v>
      </c>
      <c r="E477" s="20" t="s">
        <v>47</v>
      </c>
      <c r="F477" s="20" t="s">
        <v>48</v>
      </c>
      <c r="G477" s="20" t="s">
        <v>49</v>
      </c>
      <c r="H477" s="20" t="n">
        <v>1</v>
      </c>
      <c r="I477" s="24" t="n">
        <v>18</v>
      </c>
      <c r="J477" s="24" t="n">
        <v>5</v>
      </c>
      <c r="K477" s="24" t="n">
        <f aca="false">H477*I477</f>
        <v>18</v>
      </c>
      <c r="L477" s="24" t="n">
        <f aca="false">K477-H477*J477</f>
        <v>13</v>
      </c>
      <c r="M477" s="20" t="s">
        <v>50</v>
      </c>
    </row>
    <row r="478" customFormat="false" ht="15" hidden="false" customHeight="false" outlineLevel="0" collapsed="false">
      <c r="A478" s="20" t="s">
        <v>289</v>
      </c>
      <c r="B478" s="23" t="n">
        <v>45875</v>
      </c>
      <c r="C478" s="20" t="n">
        <f aca="false">MONTH(B478)</f>
        <v>8</v>
      </c>
      <c r="D478" s="20" t="s">
        <v>291</v>
      </c>
      <c r="E478" s="20" t="s">
        <v>47</v>
      </c>
      <c r="F478" s="20" t="s">
        <v>54</v>
      </c>
      <c r="G478" s="20" t="s">
        <v>72</v>
      </c>
      <c r="H478" s="20" t="n">
        <v>2</v>
      </c>
      <c r="I478" s="24" t="n">
        <v>24</v>
      </c>
      <c r="J478" s="24" t="n">
        <v>9</v>
      </c>
      <c r="K478" s="24" t="n">
        <f aca="false">H478*I478</f>
        <v>48</v>
      </c>
      <c r="L478" s="24" t="n">
        <f aca="false">K478-H478*J478</f>
        <v>30</v>
      </c>
      <c r="M478" s="20" t="s">
        <v>50</v>
      </c>
    </row>
    <row r="479" customFormat="false" ht="15" hidden="false" customHeight="false" outlineLevel="0" collapsed="false">
      <c r="A479" s="20" t="s">
        <v>132</v>
      </c>
      <c r="B479" s="23" t="n">
        <v>45875</v>
      </c>
      <c r="C479" s="20" t="n">
        <f aca="false">MONTH(B479)</f>
        <v>8</v>
      </c>
      <c r="D479" s="20" t="s">
        <v>134</v>
      </c>
      <c r="E479" s="20" t="s">
        <v>109</v>
      </c>
      <c r="F479" s="20" t="s">
        <v>81</v>
      </c>
      <c r="G479" s="20" t="s">
        <v>67</v>
      </c>
      <c r="H479" s="20" t="n">
        <v>1</v>
      </c>
      <c r="I479" s="24" t="n">
        <v>45</v>
      </c>
      <c r="J479" s="24" t="n">
        <v>17</v>
      </c>
      <c r="K479" s="24" t="n">
        <f aca="false">H479*I479</f>
        <v>45</v>
      </c>
      <c r="L479" s="24" t="n">
        <f aca="false">K479-H479*J479</f>
        <v>28</v>
      </c>
      <c r="M479" s="20" t="s">
        <v>50</v>
      </c>
    </row>
    <row r="480" customFormat="false" ht="15" hidden="false" customHeight="false" outlineLevel="0" collapsed="false">
      <c r="A480" s="20" t="s">
        <v>977</v>
      </c>
      <c r="B480" s="23" t="n">
        <v>45875</v>
      </c>
      <c r="C480" s="20" t="n">
        <f aca="false">MONTH(B480)</f>
        <v>8</v>
      </c>
      <c r="D480" s="20" t="s">
        <v>494</v>
      </c>
      <c r="E480" s="20" t="s">
        <v>47</v>
      </c>
      <c r="F480" s="20" t="s">
        <v>48</v>
      </c>
      <c r="G480" s="20" t="s">
        <v>116</v>
      </c>
      <c r="H480" s="20" t="n">
        <v>2</v>
      </c>
      <c r="I480" s="24" t="n">
        <v>28</v>
      </c>
      <c r="J480" s="24" t="n">
        <v>9</v>
      </c>
      <c r="K480" s="24" t="n">
        <f aca="false">H480*I480</f>
        <v>56</v>
      </c>
      <c r="L480" s="24" t="n">
        <f aca="false">K480-H480*J480</f>
        <v>38</v>
      </c>
      <c r="M480" s="20" t="s">
        <v>112</v>
      </c>
    </row>
    <row r="481" customFormat="false" ht="15" hidden="false" customHeight="false" outlineLevel="0" collapsed="false">
      <c r="A481" s="20" t="s">
        <v>912</v>
      </c>
      <c r="B481" s="23" t="n">
        <v>45875</v>
      </c>
      <c r="C481" s="20" t="n">
        <f aca="false">MONTH(B481)</f>
        <v>8</v>
      </c>
      <c r="D481" s="20" t="s">
        <v>248</v>
      </c>
      <c r="E481" s="20" t="s">
        <v>65</v>
      </c>
      <c r="F481" s="20" t="s">
        <v>81</v>
      </c>
      <c r="G481" s="20" t="s">
        <v>61</v>
      </c>
      <c r="H481" s="20" t="n">
        <v>1</v>
      </c>
      <c r="I481" s="24" t="n">
        <v>35</v>
      </c>
      <c r="J481" s="24" t="n">
        <v>12</v>
      </c>
      <c r="K481" s="24" t="n">
        <f aca="false">H481*I481</f>
        <v>35</v>
      </c>
      <c r="L481" s="24" t="n">
        <f aca="false">K481-H481*J481</f>
        <v>23</v>
      </c>
      <c r="M481" s="20" t="s">
        <v>50</v>
      </c>
    </row>
    <row r="482" customFormat="false" ht="15" hidden="false" customHeight="false" outlineLevel="0" collapsed="false">
      <c r="A482" s="20" t="s">
        <v>341</v>
      </c>
      <c r="B482" s="23" t="n">
        <v>45876</v>
      </c>
      <c r="C482" s="20" t="n">
        <f aca="false">MONTH(B482)</f>
        <v>8</v>
      </c>
      <c r="D482" s="20" t="s">
        <v>69</v>
      </c>
      <c r="E482" s="20" t="s">
        <v>47</v>
      </c>
      <c r="F482" s="20" t="s">
        <v>92</v>
      </c>
      <c r="G482" s="20" t="s">
        <v>93</v>
      </c>
      <c r="H482" s="20" t="n">
        <v>1</v>
      </c>
      <c r="I482" s="24" t="n">
        <v>15</v>
      </c>
      <c r="J482" s="24" t="n">
        <v>5</v>
      </c>
      <c r="K482" s="24" t="n">
        <f aca="false">H482*I482</f>
        <v>15</v>
      </c>
      <c r="L482" s="24" t="n">
        <f aca="false">K482-H482*J482</f>
        <v>10</v>
      </c>
      <c r="M482" s="20" t="s">
        <v>50</v>
      </c>
    </row>
    <row r="483" customFormat="false" ht="15" hidden="false" customHeight="false" outlineLevel="0" collapsed="false">
      <c r="A483" s="20" t="s">
        <v>1424</v>
      </c>
      <c r="B483" s="23" t="n">
        <v>45876</v>
      </c>
      <c r="C483" s="20" t="n">
        <f aca="false">MONTH(B483)</f>
        <v>8</v>
      </c>
      <c r="D483" s="20" t="s">
        <v>338</v>
      </c>
      <c r="E483" s="20" t="s">
        <v>47</v>
      </c>
      <c r="F483" s="20" t="s">
        <v>54</v>
      </c>
      <c r="G483" s="20" t="s">
        <v>72</v>
      </c>
      <c r="H483" s="20" t="n">
        <v>2</v>
      </c>
      <c r="I483" s="24" t="n">
        <v>24</v>
      </c>
      <c r="J483" s="24" t="n">
        <v>9</v>
      </c>
      <c r="K483" s="24" t="n">
        <f aca="false">H483*I483</f>
        <v>48</v>
      </c>
      <c r="L483" s="24" t="n">
        <f aca="false">K483-H483*J483</f>
        <v>30</v>
      </c>
      <c r="M483" s="20" t="s">
        <v>50</v>
      </c>
    </row>
    <row r="484" customFormat="false" ht="15" hidden="false" customHeight="false" outlineLevel="0" collapsed="false">
      <c r="A484" s="20" t="s">
        <v>1108</v>
      </c>
      <c r="B484" s="23" t="n">
        <v>45876</v>
      </c>
      <c r="C484" s="20" t="n">
        <f aca="false">MONTH(B484)</f>
        <v>8</v>
      </c>
      <c r="D484" s="20" t="s">
        <v>174</v>
      </c>
      <c r="E484" s="20" t="s">
        <v>70</v>
      </c>
      <c r="F484" s="20" t="s">
        <v>48</v>
      </c>
      <c r="G484" s="20" t="s">
        <v>49</v>
      </c>
      <c r="H484" s="20" t="n">
        <v>1</v>
      </c>
      <c r="I484" s="24" t="n">
        <v>18</v>
      </c>
      <c r="J484" s="24" t="n">
        <v>5</v>
      </c>
      <c r="K484" s="24" t="n">
        <f aca="false">H484*I484</f>
        <v>18</v>
      </c>
      <c r="L484" s="24" t="n">
        <f aca="false">K484-H484*J484</f>
        <v>13</v>
      </c>
      <c r="M484" s="20" t="s">
        <v>50</v>
      </c>
    </row>
    <row r="485" customFormat="false" ht="15" hidden="false" customHeight="false" outlineLevel="0" collapsed="false">
      <c r="A485" s="20" t="s">
        <v>102</v>
      </c>
      <c r="B485" s="23" t="n">
        <v>45877</v>
      </c>
      <c r="C485" s="20" t="n">
        <f aca="false">MONTH(B485)</f>
        <v>8</v>
      </c>
      <c r="D485" s="20" t="s">
        <v>104</v>
      </c>
      <c r="E485" s="20" t="s">
        <v>47</v>
      </c>
      <c r="F485" s="20" t="s">
        <v>92</v>
      </c>
      <c r="G485" s="20" t="s">
        <v>105</v>
      </c>
      <c r="H485" s="20" t="n">
        <v>1</v>
      </c>
      <c r="I485" s="24" t="n">
        <v>49</v>
      </c>
      <c r="J485" s="24" t="n">
        <v>22</v>
      </c>
      <c r="K485" s="24" t="n">
        <f aca="false">H485*I485</f>
        <v>49</v>
      </c>
      <c r="L485" s="24" t="n">
        <f aca="false">K485-H485*J485</f>
        <v>27</v>
      </c>
      <c r="M485" s="20" t="s">
        <v>50</v>
      </c>
    </row>
    <row r="486" customFormat="false" ht="15" hidden="false" customHeight="false" outlineLevel="0" collapsed="false">
      <c r="A486" s="20" t="s">
        <v>905</v>
      </c>
      <c r="B486" s="23" t="n">
        <v>45877</v>
      </c>
      <c r="C486" s="20" t="n">
        <f aca="false">MONTH(B486)</f>
        <v>8</v>
      </c>
      <c r="D486" s="20" t="s">
        <v>97</v>
      </c>
      <c r="E486" s="20" t="s">
        <v>70</v>
      </c>
      <c r="F486" s="20" t="s">
        <v>48</v>
      </c>
      <c r="G486" s="20" t="s">
        <v>144</v>
      </c>
      <c r="H486" s="20" t="n">
        <v>1</v>
      </c>
      <c r="I486" s="24" t="n">
        <v>54</v>
      </c>
      <c r="J486" s="24" t="n">
        <v>24</v>
      </c>
      <c r="K486" s="24" t="n">
        <f aca="false">H486*I486</f>
        <v>54</v>
      </c>
      <c r="L486" s="24" t="n">
        <f aca="false">K486-H486*J486</f>
        <v>30</v>
      </c>
      <c r="M486" s="20" t="s">
        <v>50</v>
      </c>
    </row>
    <row r="487" customFormat="false" ht="15" hidden="false" customHeight="false" outlineLevel="0" collapsed="false">
      <c r="A487" s="20" t="s">
        <v>211</v>
      </c>
      <c r="B487" s="23" t="n">
        <v>45878</v>
      </c>
      <c r="C487" s="20" t="n">
        <f aca="false">MONTH(B487)</f>
        <v>8</v>
      </c>
      <c r="D487" s="20" t="s">
        <v>170</v>
      </c>
      <c r="E487" s="20" t="s">
        <v>47</v>
      </c>
      <c r="F487" s="20" t="s">
        <v>48</v>
      </c>
      <c r="G487" s="20" t="s">
        <v>116</v>
      </c>
      <c r="H487" s="20" t="n">
        <v>1</v>
      </c>
      <c r="I487" s="24" t="n">
        <v>28</v>
      </c>
      <c r="J487" s="24" t="n">
        <v>9</v>
      </c>
      <c r="K487" s="24" t="n">
        <f aca="false">H487*I487</f>
        <v>28</v>
      </c>
      <c r="L487" s="24" t="n">
        <f aca="false">K487-H487*J487</f>
        <v>19</v>
      </c>
      <c r="M487" s="20" t="s">
        <v>50</v>
      </c>
    </row>
    <row r="488" customFormat="false" ht="15" hidden="false" customHeight="false" outlineLevel="0" collapsed="false">
      <c r="A488" s="20" t="s">
        <v>1149</v>
      </c>
      <c r="B488" s="23" t="n">
        <v>45878</v>
      </c>
      <c r="C488" s="20" t="n">
        <f aca="false">MONTH(B488)</f>
        <v>8</v>
      </c>
      <c r="D488" s="20" t="s">
        <v>348</v>
      </c>
      <c r="E488" s="20" t="s">
        <v>70</v>
      </c>
      <c r="F488" s="20" t="s">
        <v>92</v>
      </c>
      <c r="G488" s="20" t="s">
        <v>196</v>
      </c>
      <c r="H488" s="20" t="n">
        <v>1</v>
      </c>
      <c r="I488" s="24" t="n">
        <v>89</v>
      </c>
      <c r="J488" s="24" t="n">
        <v>41</v>
      </c>
      <c r="K488" s="24" t="n">
        <f aca="false">H488*I488</f>
        <v>89</v>
      </c>
      <c r="L488" s="24" t="n">
        <f aca="false">K488-H488*J488</f>
        <v>48</v>
      </c>
      <c r="M488" s="20" t="s">
        <v>50</v>
      </c>
    </row>
    <row r="489" customFormat="false" ht="15" hidden="false" customHeight="false" outlineLevel="0" collapsed="false">
      <c r="A489" s="20" t="s">
        <v>368</v>
      </c>
      <c r="B489" s="23" t="n">
        <v>45878</v>
      </c>
      <c r="C489" s="20" t="n">
        <f aca="false">MONTH(B489)</f>
        <v>8</v>
      </c>
      <c r="D489" s="20" t="s">
        <v>214</v>
      </c>
      <c r="E489" s="20" t="s">
        <v>47</v>
      </c>
      <c r="F489" s="20" t="s">
        <v>110</v>
      </c>
      <c r="G489" s="20" t="s">
        <v>111</v>
      </c>
      <c r="H489" s="20" t="n">
        <v>2</v>
      </c>
      <c r="I489" s="24" t="n">
        <v>16</v>
      </c>
      <c r="J489" s="24" t="n">
        <v>5</v>
      </c>
      <c r="K489" s="24" t="n">
        <f aca="false">H489*I489</f>
        <v>32</v>
      </c>
      <c r="L489" s="24" t="n">
        <f aca="false">K489-H489*J489</f>
        <v>22</v>
      </c>
      <c r="M489" s="20" t="s">
        <v>50</v>
      </c>
    </row>
    <row r="490" customFormat="false" ht="15" hidden="false" customHeight="false" outlineLevel="0" collapsed="false">
      <c r="A490" s="20" t="s">
        <v>649</v>
      </c>
      <c r="B490" s="23" t="n">
        <v>45879</v>
      </c>
      <c r="C490" s="20" t="n">
        <f aca="false">MONTH(B490)</f>
        <v>8</v>
      </c>
      <c r="D490" s="20" t="s">
        <v>64</v>
      </c>
      <c r="E490" s="20" t="s">
        <v>70</v>
      </c>
      <c r="F490" s="20" t="s">
        <v>48</v>
      </c>
      <c r="G490" s="20" t="s">
        <v>116</v>
      </c>
      <c r="H490" s="20" t="n">
        <v>1</v>
      </c>
      <c r="I490" s="24" t="n">
        <v>28</v>
      </c>
      <c r="J490" s="24" t="n">
        <v>9</v>
      </c>
      <c r="K490" s="24" t="n">
        <f aca="false">H490*I490</f>
        <v>28</v>
      </c>
      <c r="L490" s="24" t="n">
        <f aca="false">K490-H490*J490</f>
        <v>19</v>
      </c>
      <c r="M490" s="20" t="s">
        <v>50</v>
      </c>
    </row>
    <row r="491" customFormat="false" ht="15" hidden="false" customHeight="false" outlineLevel="0" collapsed="false">
      <c r="A491" s="20" t="s">
        <v>698</v>
      </c>
      <c r="B491" s="23" t="n">
        <v>45879</v>
      </c>
      <c r="C491" s="20" t="n">
        <f aca="false">MONTH(B491)</f>
        <v>8</v>
      </c>
      <c r="D491" s="20" t="s">
        <v>397</v>
      </c>
      <c r="E491" s="20" t="s">
        <v>47</v>
      </c>
      <c r="F491" s="20" t="s">
        <v>81</v>
      </c>
      <c r="G491" s="20" t="s">
        <v>67</v>
      </c>
      <c r="H491" s="20" t="n">
        <v>1</v>
      </c>
      <c r="I491" s="24" t="n">
        <v>45</v>
      </c>
      <c r="J491" s="24" t="n">
        <v>17</v>
      </c>
      <c r="K491" s="24" t="n">
        <f aca="false">H491*I491</f>
        <v>45</v>
      </c>
      <c r="L491" s="24" t="n">
        <f aca="false">K491-H491*J491</f>
        <v>28</v>
      </c>
      <c r="M491" s="20" t="s">
        <v>50</v>
      </c>
    </row>
    <row r="492" customFormat="false" ht="15" hidden="false" customHeight="false" outlineLevel="0" collapsed="false">
      <c r="A492" s="20" t="s">
        <v>1137</v>
      </c>
      <c r="B492" s="23" t="n">
        <v>45879</v>
      </c>
      <c r="C492" s="20" t="n">
        <f aca="false">MONTH(B492)</f>
        <v>8</v>
      </c>
      <c r="D492" s="20" t="s">
        <v>147</v>
      </c>
      <c r="E492" s="20" t="s">
        <v>47</v>
      </c>
      <c r="F492" s="20" t="s">
        <v>54</v>
      </c>
      <c r="G492" s="20" t="s">
        <v>72</v>
      </c>
      <c r="H492" s="20" t="n">
        <v>2</v>
      </c>
      <c r="I492" s="24" t="n">
        <v>24</v>
      </c>
      <c r="J492" s="24" t="n">
        <v>9</v>
      </c>
      <c r="K492" s="24" t="n">
        <f aca="false">H492*I492</f>
        <v>48</v>
      </c>
      <c r="L492" s="24" t="n">
        <f aca="false">K492-H492*J492</f>
        <v>30</v>
      </c>
      <c r="M492" s="20" t="s">
        <v>50</v>
      </c>
    </row>
    <row r="493" customFormat="false" ht="15" hidden="false" customHeight="false" outlineLevel="0" collapsed="false">
      <c r="A493" s="20" t="s">
        <v>737</v>
      </c>
      <c r="B493" s="23" t="n">
        <v>45879</v>
      </c>
      <c r="C493" s="20" t="n">
        <f aca="false">MONTH(B493)</f>
        <v>8</v>
      </c>
      <c r="D493" s="20" t="s">
        <v>150</v>
      </c>
      <c r="E493" s="20" t="s">
        <v>65</v>
      </c>
      <c r="F493" s="20" t="s">
        <v>81</v>
      </c>
      <c r="G493" s="20" t="s">
        <v>67</v>
      </c>
      <c r="H493" s="20" t="n">
        <v>1</v>
      </c>
      <c r="I493" s="24" t="n">
        <v>45</v>
      </c>
      <c r="J493" s="24" t="n">
        <v>17</v>
      </c>
      <c r="K493" s="24" t="n">
        <f aca="false">H493*I493</f>
        <v>45</v>
      </c>
      <c r="L493" s="24" t="n">
        <f aca="false">K493-H493*J493</f>
        <v>28</v>
      </c>
      <c r="M493" s="20" t="s">
        <v>50</v>
      </c>
    </row>
    <row r="494" customFormat="false" ht="15" hidden="false" customHeight="false" outlineLevel="0" collapsed="false">
      <c r="A494" s="20" t="s">
        <v>992</v>
      </c>
      <c r="B494" s="23" t="n">
        <v>45879</v>
      </c>
      <c r="C494" s="20" t="n">
        <f aca="false">MONTH(B494)</f>
        <v>8</v>
      </c>
      <c r="D494" s="20" t="s">
        <v>801</v>
      </c>
      <c r="E494" s="20" t="s">
        <v>65</v>
      </c>
      <c r="F494" s="20" t="s">
        <v>92</v>
      </c>
      <c r="G494" s="20" t="s">
        <v>93</v>
      </c>
      <c r="H494" s="20" t="n">
        <v>1</v>
      </c>
      <c r="I494" s="24" t="n">
        <v>15</v>
      </c>
      <c r="J494" s="24" t="n">
        <v>5</v>
      </c>
      <c r="K494" s="24" t="n">
        <f aca="false">H494*I494</f>
        <v>15</v>
      </c>
      <c r="L494" s="24" t="n">
        <f aca="false">K494-H494*J494</f>
        <v>10</v>
      </c>
      <c r="M494" s="20" t="s">
        <v>112</v>
      </c>
    </row>
    <row r="495" customFormat="false" ht="15" hidden="false" customHeight="false" outlineLevel="0" collapsed="false">
      <c r="A495" s="20" t="s">
        <v>1292</v>
      </c>
      <c r="B495" s="23" t="n">
        <v>45880</v>
      </c>
      <c r="C495" s="20" t="n">
        <f aca="false">MONTH(B495)</f>
        <v>8</v>
      </c>
      <c r="D495" s="20" t="s">
        <v>476</v>
      </c>
      <c r="E495" s="20" t="s">
        <v>47</v>
      </c>
      <c r="F495" s="20" t="s">
        <v>110</v>
      </c>
      <c r="G495" s="20" t="s">
        <v>121</v>
      </c>
      <c r="H495" s="20" t="n">
        <v>1</v>
      </c>
      <c r="I495" s="24" t="n">
        <v>21</v>
      </c>
      <c r="J495" s="24" t="n">
        <v>7</v>
      </c>
      <c r="K495" s="24" t="n">
        <f aca="false">H495*I495</f>
        <v>21</v>
      </c>
      <c r="L495" s="24" t="n">
        <f aca="false">K495-H495*J495</f>
        <v>14</v>
      </c>
      <c r="M495" s="20" t="s">
        <v>50</v>
      </c>
    </row>
    <row r="496" customFormat="false" ht="15" hidden="false" customHeight="false" outlineLevel="0" collapsed="false">
      <c r="A496" s="20" t="s">
        <v>693</v>
      </c>
      <c r="B496" s="23" t="n">
        <v>45880</v>
      </c>
      <c r="C496" s="20" t="n">
        <f aca="false">MONTH(B496)</f>
        <v>8</v>
      </c>
      <c r="D496" s="20" t="s">
        <v>239</v>
      </c>
      <c r="E496" s="20" t="s">
        <v>65</v>
      </c>
      <c r="F496" s="20" t="s">
        <v>92</v>
      </c>
      <c r="G496" s="20" t="s">
        <v>196</v>
      </c>
      <c r="H496" s="20" t="n">
        <v>3</v>
      </c>
      <c r="I496" s="24" t="n">
        <v>89</v>
      </c>
      <c r="J496" s="24" t="n">
        <v>41</v>
      </c>
      <c r="K496" s="24" t="n">
        <f aca="false">H496*I496</f>
        <v>267</v>
      </c>
      <c r="L496" s="24" t="n">
        <f aca="false">K496-H496*J496</f>
        <v>144</v>
      </c>
      <c r="M496" s="20" t="s">
        <v>50</v>
      </c>
    </row>
    <row r="497" customFormat="false" ht="15" hidden="false" customHeight="false" outlineLevel="0" collapsed="false">
      <c r="A497" s="20" t="s">
        <v>549</v>
      </c>
      <c r="B497" s="23" t="n">
        <v>45880</v>
      </c>
      <c r="C497" s="20" t="n">
        <f aca="false">MONTH(B497)</f>
        <v>8</v>
      </c>
      <c r="D497" s="20" t="s">
        <v>291</v>
      </c>
      <c r="E497" s="20" t="s">
        <v>47</v>
      </c>
      <c r="F497" s="20" t="s">
        <v>81</v>
      </c>
      <c r="G497" s="20" t="s">
        <v>61</v>
      </c>
      <c r="H497" s="20" t="n">
        <v>2</v>
      </c>
      <c r="I497" s="24" t="n">
        <v>35</v>
      </c>
      <c r="J497" s="24" t="n">
        <v>12</v>
      </c>
      <c r="K497" s="24" t="n">
        <f aca="false">H497*I497</f>
        <v>70</v>
      </c>
      <c r="L497" s="24" t="n">
        <f aca="false">K497-H497*J497</f>
        <v>46</v>
      </c>
      <c r="M497" s="20" t="s">
        <v>112</v>
      </c>
    </row>
    <row r="498" customFormat="false" ht="15" hidden="false" customHeight="false" outlineLevel="0" collapsed="false">
      <c r="A498" s="20" t="s">
        <v>1407</v>
      </c>
      <c r="B498" s="23" t="n">
        <v>45880</v>
      </c>
      <c r="C498" s="20" t="n">
        <f aca="false">MONTH(B498)</f>
        <v>8</v>
      </c>
      <c r="D498" s="20" t="s">
        <v>272</v>
      </c>
      <c r="E498" s="20" t="s">
        <v>65</v>
      </c>
      <c r="F498" s="20" t="s">
        <v>110</v>
      </c>
      <c r="G498" s="20" t="s">
        <v>111</v>
      </c>
      <c r="H498" s="20" t="n">
        <v>1</v>
      </c>
      <c r="I498" s="24" t="n">
        <v>16</v>
      </c>
      <c r="J498" s="24" t="n">
        <v>5</v>
      </c>
      <c r="K498" s="24" t="n">
        <f aca="false">H498*I498</f>
        <v>16</v>
      </c>
      <c r="L498" s="24" t="n">
        <f aca="false">K498-H498*J498</f>
        <v>11</v>
      </c>
      <c r="M498" s="20" t="s">
        <v>50</v>
      </c>
    </row>
    <row r="499" customFormat="false" ht="15" hidden="false" customHeight="false" outlineLevel="0" collapsed="false">
      <c r="A499" s="20" t="s">
        <v>990</v>
      </c>
      <c r="B499" s="23" t="n">
        <v>45881</v>
      </c>
      <c r="C499" s="20" t="n">
        <f aca="false">MONTH(B499)</f>
        <v>8</v>
      </c>
      <c r="D499" s="20" t="s">
        <v>306</v>
      </c>
      <c r="E499" s="20" t="s">
        <v>47</v>
      </c>
      <c r="F499" s="20" t="s">
        <v>110</v>
      </c>
      <c r="G499" s="20" t="s">
        <v>121</v>
      </c>
      <c r="H499" s="20" t="n">
        <v>1</v>
      </c>
      <c r="I499" s="24" t="n">
        <v>21</v>
      </c>
      <c r="J499" s="24" t="n">
        <v>7</v>
      </c>
      <c r="K499" s="24" t="n">
        <f aca="false">H499*I499</f>
        <v>21</v>
      </c>
      <c r="L499" s="24" t="n">
        <f aca="false">K499-H499*J499</f>
        <v>14</v>
      </c>
      <c r="M499" s="20" t="s">
        <v>50</v>
      </c>
    </row>
    <row r="500" customFormat="false" ht="15" hidden="false" customHeight="false" outlineLevel="0" collapsed="false">
      <c r="A500" s="20" t="s">
        <v>1687</v>
      </c>
      <c r="B500" s="23" t="n">
        <v>45881</v>
      </c>
      <c r="C500" s="20" t="n">
        <f aca="false">MONTH(B500)</f>
        <v>8</v>
      </c>
      <c r="D500" s="20" t="s">
        <v>424</v>
      </c>
      <c r="E500" s="20" t="s">
        <v>47</v>
      </c>
      <c r="F500" s="20" t="s">
        <v>48</v>
      </c>
      <c r="G500" s="20" t="s">
        <v>144</v>
      </c>
      <c r="H500" s="20" t="n">
        <v>1</v>
      </c>
      <c r="I500" s="24" t="n">
        <v>54</v>
      </c>
      <c r="J500" s="24" t="n">
        <v>24</v>
      </c>
      <c r="K500" s="24" t="n">
        <f aca="false">H500*I500</f>
        <v>54</v>
      </c>
      <c r="L500" s="24" t="n">
        <f aca="false">K500-H500*J500</f>
        <v>30</v>
      </c>
      <c r="M500" s="20" t="s">
        <v>50</v>
      </c>
    </row>
    <row r="501" customFormat="false" ht="15" hidden="false" customHeight="false" outlineLevel="0" collapsed="false">
      <c r="A501" s="20" t="s">
        <v>651</v>
      </c>
      <c r="B501" s="23" t="n">
        <v>45882</v>
      </c>
      <c r="C501" s="20" t="n">
        <f aca="false">MONTH(B501)</f>
        <v>8</v>
      </c>
      <c r="D501" s="20" t="s">
        <v>457</v>
      </c>
      <c r="E501" s="20" t="s">
        <v>70</v>
      </c>
      <c r="F501" s="20" t="s">
        <v>48</v>
      </c>
      <c r="G501" s="20" t="s">
        <v>144</v>
      </c>
      <c r="H501" s="20" t="n">
        <v>1</v>
      </c>
      <c r="I501" s="24" t="n">
        <v>54</v>
      </c>
      <c r="J501" s="24" t="n">
        <v>24</v>
      </c>
      <c r="K501" s="24" t="n">
        <f aca="false">H501*I501</f>
        <v>54</v>
      </c>
      <c r="L501" s="24" t="n">
        <f aca="false">K501-H501*J501</f>
        <v>30</v>
      </c>
      <c r="M501" s="20" t="s">
        <v>50</v>
      </c>
    </row>
    <row r="502" customFormat="false" ht="15" hidden="false" customHeight="false" outlineLevel="0" collapsed="false">
      <c r="A502" s="20" t="s">
        <v>343</v>
      </c>
      <c r="B502" s="23" t="n">
        <v>45882</v>
      </c>
      <c r="C502" s="20" t="n">
        <f aca="false">MONTH(B502)</f>
        <v>8</v>
      </c>
      <c r="D502" s="20" t="s">
        <v>344</v>
      </c>
      <c r="E502" s="20" t="s">
        <v>59</v>
      </c>
      <c r="F502" s="20" t="s">
        <v>81</v>
      </c>
      <c r="G502" s="20" t="s">
        <v>82</v>
      </c>
      <c r="H502" s="20" t="n">
        <v>1</v>
      </c>
      <c r="I502" s="24" t="n">
        <v>22</v>
      </c>
      <c r="J502" s="24" t="n">
        <v>8</v>
      </c>
      <c r="K502" s="24" t="n">
        <f aca="false">H502*I502</f>
        <v>22</v>
      </c>
      <c r="L502" s="24" t="n">
        <f aca="false">K502-H502*J502</f>
        <v>14</v>
      </c>
      <c r="M502" s="20" t="s">
        <v>112</v>
      </c>
    </row>
    <row r="503" customFormat="false" ht="15" hidden="false" customHeight="false" outlineLevel="0" collapsed="false">
      <c r="A503" s="20" t="s">
        <v>1579</v>
      </c>
      <c r="B503" s="23" t="n">
        <v>45882</v>
      </c>
      <c r="C503" s="20" t="n">
        <f aca="false">MONTH(B503)</f>
        <v>8</v>
      </c>
      <c r="D503" s="20" t="s">
        <v>392</v>
      </c>
      <c r="E503" s="20" t="s">
        <v>47</v>
      </c>
      <c r="F503" s="20" t="s">
        <v>110</v>
      </c>
      <c r="G503" s="20" t="s">
        <v>236</v>
      </c>
      <c r="H503" s="20" t="n">
        <v>4</v>
      </c>
      <c r="I503" s="24" t="n">
        <v>30</v>
      </c>
      <c r="J503" s="24" t="n">
        <v>11</v>
      </c>
      <c r="K503" s="24" t="n">
        <f aca="false">H503*I503</f>
        <v>120</v>
      </c>
      <c r="L503" s="24" t="n">
        <f aca="false">K503-H503*J503</f>
        <v>76</v>
      </c>
      <c r="M503" s="20" t="s">
        <v>50</v>
      </c>
    </row>
    <row r="504" customFormat="false" ht="15" hidden="false" customHeight="false" outlineLevel="0" collapsed="false">
      <c r="A504" s="20" t="s">
        <v>283</v>
      </c>
      <c r="B504" s="23" t="n">
        <v>45882</v>
      </c>
      <c r="C504" s="20" t="n">
        <f aca="false">MONTH(B504)</f>
        <v>8</v>
      </c>
      <c r="D504" s="20" t="s">
        <v>224</v>
      </c>
      <c r="E504" s="20" t="s">
        <v>70</v>
      </c>
      <c r="F504" s="20" t="s">
        <v>81</v>
      </c>
      <c r="G504" s="20" t="s">
        <v>67</v>
      </c>
      <c r="H504" s="20" t="n">
        <v>2</v>
      </c>
      <c r="I504" s="24" t="n">
        <v>45</v>
      </c>
      <c r="J504" s="24" t="n">
        <v>17</v>
      </c>
      <c r="K504" s="24" t="n">
        <f aca="false">H504*I504</f>
        <v>90</v>
      </c>
      <c r="L504" s="24" t="n">
        <f aca="false">K504-H504*J504</f>
        <v>56</v>
      </c>
      <c r="M504" s="20" t="s">
        <v>50</v>
      </c>
    </row>
    <row r="505" customFormat="false" ht="15" hidden="false" customHeight="false" outlineLevel="0" collapsed="false">
      <c r="A505" s="20" t="s">
        <v>208</v>
      </c>
      <c r="B505" s="23" t="n">
        <v>45882</v>
      </c>
      <c r="C505" s="20" t="n">
        <f aca="false">MONTH(B505)</f>
        <v>8</v>
      </c>
      <c r="D505" s="20" t="s">
        <v>210</v>
      </c>
      <c r="E505" s="20" t="s">
        <v>47</v>
      </c>
      <c r="F505" s="20" t="s">
        <v>54</v>
      </c>
      <c r="G505" s="20" t="s">
        <v>76</v>
      </c>
      <c r="H505" s="20" t="n">
        <v>3</v>
      </c>
      <c r="I505" s="24" t="n">
        <v>32</v>
      </c>
      <c r="J505" s="24" t="n">
        <v>13</v>
      </c>
      <c r="K505" s="24" t="n">
        <f aca="false">H505*I505</f>
        <v>96</v>
      </c>
      <c r="L505" s="24" t="n">
        <f aca="false">K505-H505*J505</f>
        <v>57</v>
      </c>
      <c r="M505" s="20" t="s">
        <v>112</v>
      </c>
    </row>
    <row r="506" customFormat="false" ht="15" hidden="false" customHeight="false" outlineLevel="0" collapsed="false">
      <c r="A506" s="20" t="s">
        <v>1006</v>
      </c>
      <c r="B506" s="23" t="n">
        <v>45883</v>
      </c>
      <c r="C506" s="20" t="n">
        <f aca="false">MONTH(B506)</f>
        <v>8</v>
      </c>
      <c r="D506" s="20" t="s">
        <v>1008</v>
      </c>
      <c r="E506" s="20" t="s">
        <v>47</v>
      </c>
      <c r="F506" s="20" t="s">
        <v>110</v>
      </c>
      <c r="G506" s="20" t="s">
        <v>111</v>
      </c>
      <c r="H506" s="20" t="n">
        <v>2</v>
      </c>
      <c r="I506" s="24" t="n">
        <v>16</v>
      </c>
      <c r="J506" s="24" t="n">
        <v>5</v>
      </c>
      <c r="K506" s="24" t="n">
        <f aca="false">H506*I506</f>
        <v>32</v>
      </c>
      <c r="L506" s="24" t="n">
        <f aca="false">K506-H506*J506</f>
        <v>22</v>
      </c>
      <c r="M506" s="20" t="s">
        <v>50</v>
      </c>
    </row>
    <row r="507" customFormat="false" ht="15" hidden="false" customHeight="false" outlineLevel="0" collapsed="false">
      <c r="A507" s="20" t="s">
        <v>1576</v>
      </c>
      <c r="B507" s="23" t="n">
        <v>45883</v>
      </c>
      <c r="C507" s="20" t="n">
        <f aca="false">MONTH(B507)</f>
        <v>8</v>
      </c>
      <c r="D507" s="20" t="s">
        <v>224</v>
      </c>
      <c r="E507" s="20" t="s">
        <v>65</v>
      </c>
      <c r="F507" s="20" t="s">
        <v>92</v>
      </c>
      <c r="G507" s="20" t="s">
        <v>105</v>
      </c>
      <c r="H507" s="20" t="n">
        <v>1</v>
      </c>
      <c r="I507" s="24" t="n">
        <v>49</v>
      </c>
      <c r="J507" s="24" t="n">
        <v>22</v>
      </c>
      <c r="K507" s="24" t="n">
        <f aca="false">H507*I507</f>
        <v>49</v>
      </c>
      <c r="L507" s="24" t="n">
        <f aca="false">K507-H507*J507</f>
        <v>27</v>
      </c>
      <c r="M507" s="20" t="s">
        <v>50</v>
      </c>
    </row>
    <row r="508" customFormat="false" ht="15" hidden="false" customHeight="false" outlineLevel="0" collapsed="false">
      <c r="A508" s="20" t="s">
        <v>999</v>
      </c>
      <c r="B508" s="23" t="n">
        <v>45884</v>
      </c>
      <c r="C508" s="20" t="n">
        <f aca="false">MONTH(B508)</f>
        <v>8</v>
      </c>
      <c r="D508" s="20" t="s">
        <v>1001</v>
      </c>
      <c r="E508" s="20" t="s">
        <v>59</v>
      </c>
      <c r="F508" s="20" t="s">
        <v>48</v>
      </c>
      <c r="G508" s="20" t="s">
        <v>49</v>
      </c>
      <c r="H508" s="20" t="n">
        <v>2</v>
      </c>
      <c r="I508" s="24" t="n">
        <v>18</v>
      </c>
      <c r="J508" s="24" t="n">
        <v>5</v>
      </c>
      <c r="K508" s="24" t="n">
        <f aca="false">H508*I508</f>
        <v>36</v>
      </c>
      <c r="L508" s="24" t="n">
        <f aca="false">K508-H508*J508</f>
        <v>26</v>
      </c>
      <c r="M508" s="20" t="s">
        <v>50</v>
      </c>
    </row>
    <row r="509" customFormat="false" ht="15" hidden="false" customHeight="false" outlineLevel="0" collapsed="false">
      <c r="A509" s="20" t="s">
        <v>1294</v>
      </c>
      <c r="B509" s="23" t="n">
        <v>45884</v>
      </c>
      <c r="C509" s="20" t="n">
        <f aca="false">MONTH(B509)</f>
        <v>8</v>
      </c>
      <c r="D509" s="20" t="s">
        <v>300</v>
      </c>
      <c r="E509" s="20" t="s">
        <v>70</v>
      </c>
      <c r="F509" s="20" t="s">
        <v>92</v>
      </c>
      <c r="G509" s="20" t="s">
        <v>105</v>
      </c>
      <c r="H509" s="20" t="n">
        <v>1</v>
      </c>
      <c r="I509" s="24" t="n">
        <v>49</v>
      </c>
      <c r="J509" s="24" t="n">
        <v>22</v>
      </c>
      <c r="K509" s="24" t="n">
        <f aca="false">H509*I509</f>
        <v>49</v>
      </c>
      <c r="L509" s="24" t="n">
        <f aca="false">K509-H509*J509</f>
        <v>27</v>
      </c>
      <c r="M509" s="20" t="s">
        <v>50</v>
      </c>
    </row>
    <row r="510" customFormat="false" ht="15" hidden="false" customHeight="false" outlineLevel="0" collapsed="false">
      <c r="A510" s="20" t="s">
        <v>643</v>
      </c>
      <c r="B510" s="23" t="n">
        <v>45885</v>
      </c>
      <c r="C510" s="20" t="n">
        <f aca="false">MONTH(B510)</f>
        <v>8</v>
      </c>
      <c r="D510" s="20" t="s">
        <v>216</v>
      </c>
      <c r="E510" s="20" t="s">
        <v>65</v>
      </c>
      <c r="F510" s="20" t="s">
        <v>54</v>
      </c>
      <c r="G510" s="20" t="s">
        <v>55</v>
      </c>
      <c r="H510" s="20" t="n">
        <v>4</v>
      </c>
      <c r="I510" s="24" t="n">
        <v>38</v>
      </c>
      <c r="J510" s="24" t="n">
        <v>16</v>
      </c>
      <c r="K510" s="24" t="n">
        <f aca="false">H510*I510</f>
        <v>152</v>
      </c>
      <c r="L510" s="24" t="n">
        <f aca="false">K510-H510*J510</f>
        <v>88</v>
      </c>
      <c r="M510" s="20" t="s">
        <v>50</v>
      </c>
    </row>
    <row r="511" customFormat="false" ht="15" hidden="false" customHeight="false" outlineLevel="0" collapsed="false">
      <c r="A511" s="20" t="s">
        <v>1117</v>
      </c>
      <c r="B511" s="23" t="n">
        <v>45886</v>
      </c>
      <c r="C511" s="20" t="n">
        <f aca="false">MONTH(B511)</f>
        <v>8</v>
      </c>
      <c r="D511" s="20" t="s">
        <v>156</v>
      </c>
      <c r="E511" s="20" t="s">
        <v>109</v>
      </c>
      <c r="F511" s="20" t="s">
        <v>81</v>
      </c>
      <c r="G511" s="20" t="s">
        <v>61</v>
      </c>
      <c r="H511" s="20" t="n">
        <v>3</v>
      </c>
      <c r="I511" s="24" t="n">
        <v>35</v>
      </c>
      <c r="J511" s="24" t="n">
        <v>12</v>
      </c>
      <c r="K511" s="24" t="n">
        <f aca="false">H511*I511</f>
        <v>105</v>
      </c>
      <c r="L511" s="24" t="n">
        <f aca="false">K511-H511*J511</f>
        <v>69</v>
      </c>
      <c r="M511" s="20" t="s">
        <v>112</v>
      </c>
    </row>
    <row r="512" customFormat="false" ht="15" hidden="false" customHeight="false" outlineLevel="0" collapsed="false">
      <c r="A512" s="20" t="s">
        <v>1241</v>
      </c>
      <c r="B512" s="23" t="n">
        <v>45886</v>
      </c>
      <c r="C512" s="20" t="n">
        <f aca="false">MONTH(B512)</f>
        <v>8</v>
      </c>
      <c r="D512" s="20" t="s">
        <v>826</v>
      </c>
      <c r="E512" s="20" t="s">
        <v>47</v>
      </c>
      <c r="F512" s="20" t="s">
        <v>48</v>
      </c>
      <c r="G512" s="20" t="s">
        <v>116</v>
      </c>
      <c r="H512" s="20" t="n">
        <v>2</v>
      </c>
      <c r="I512" s="24" t="n">
        <v>28</v>
      </c>
      <c r="J512" s="24" t="n">
        <v>9</v>
      </c>
      <c r="K512" s="24" t="n">
        <f aca="false">H512*I512</f>
        <v>56</v>
      </c>
      <c r="L512" s="24" t="n">
        <f aca="false">K512-H512*J512</f>
        <v>38</v>
      </c>
      <c r="M512" s="20" t="s">
        <v>50</v>
      </c>
    </row>
    <row r="513" customFormat="false" ht="15" hidden="false" customHeight="false" outlineLevel="0" collapsed="false">
      <c r="A513" s="20" t="s">
        <v>1306</v>
      </c>
      <c r="B513" s="23" t="n">
        <v>45886</v>
      </c>
      <c r="C513" s="20" t="n">
        <f aca="false">MONTH(B513)</f>
        <v>8</v>
      </c>
      <c r="D513" s="20" t="s">
        <v>332</v>
      </c>
      <c r="E513" s="20" t="s">
        <v>47</v>
      </c>
      <c r="F513" s="20" t="s">
        <v>92</v>
      </c>
      <c r="G513" s="20" t="s">
        <v>105</v>
      </c>
      <c r="H513" s="20" t="n">
        <v>4</v>
      </c>
      <c r="I513" s="24" t="n">
        <v>49</v>
      </c>
      <c r="J513" s="24" t="n">
        <v>22</v>
      </c>
      <c r="K513" s="24" t="n">
        <f aca="false">H513*I513</f>
        <v>196</v>
      </c>
      <c r="L513" s="24" t="n">
        <f aca="false">K513-H513*J513</f>
        <v>108</v>
      </c>
      <c r="M513" s="20" t="s">
        <v>50</v>
      </c>
    </row>
    <row r="514" customFormat="false" ht="15" hidden="false" customHeight="false" outlineLevel="0" collapsed="false">
      <c r="A514" s="20" t="s">
        <v>230</v>
      </c>
      <c r="B514" s="23" t="n">
        <v>45887</v>
      </c>
      <c r="C514" s="20" t="n">
        <f aca="false">MONTH(B514)</f>
        <v>8</v>
      </c>
      <c r="D514" s="20" t="s">
        <v>224</v>
      </c>
      <c r="E514" s="20" t="s">
        <v>47</v>
      </c>
      <c r="F514" s="20" t="s">
        <v>48</v>
      </c>
      <c r="G514" s="20" t="s">
        <v>116</v>
      </c>
      <c r="H514" s="20" t="n">
        <v>1</v>
      </c>
      <c r="I514" s="24" t="n">
        <v>28</v>
      </c>
      <c r="J514" s="24" t="n">
        <v>9</v>
      </c>
      <c r="K514" s="24" t="n">
        <f aca="false">H514*I514</f>
        <v>28</v>
      </c>
      <c r="L514" s="24" t="n">
        <f aca="false">K514-H514*J514</f>
        <v>19</v>
      </c>
      <c r="M514" s="20" t="s">
        <v>50</v>
      </c>
    </row>
    <row r="515" customFormat="false" ht="15" hidden="false" customHeight="false" outlineLevel="0" collapsed="false">
      <c r="A515" s="20" t="s">
        <v>254</v>
      </c>
      <c r="B515" s="23" t="n">
        <v>45888</v>
      </c>
      <c r="C515" s="20" t="n">
        <f aca="false">MONTH(B515)</f>
        <v>8</v>
      </c>
      <c r="D515" s="20" t="s">
        <v>170</v>
      </c>
      <c r="E515" s="20" t="s">
        <v>70</v>
      </c>
      <c r="F515" s="20" t="s">
        <v>54</v>
      </c>
      <c r="G515" s="20" t="s">
        <v>72</v>
      </c>
      <c r="H515" s="20" t="n">
        <v>1</v>
      </c>
      <c r="I515" s="24" t="n">
        <v>24</v>
      </c>
      <c r="J515" s="24" t="n">
        <v>9</v>
      </c>
      <c r="K515" s="24" t="n">
        <f aca="false">H515*I515</f>
        <v>24</v>
      </c>
      <c r="L515" s="24" t="n">
        <f aca="false">K515-H515*J515</f>
        <v>15</v>
      </c>
      <c r="M515" s="20" t="s">
        <v>50</v>
      </c>
    </row>
    <row r="516" customFormat="false" ht="15" hidden="false" customHeight="false" outlineLevel="0" collapsed="false">
      <c r="A516" s="20" t="s">
        <v>1693</v>
      </c>
      <c r="B516" s="23" t="n">
        <v>45888</v>
      </c>
      <c r="C516" s="20" t="n">
        <f aca="false">MONTH(B516)</f>
        <v>8</v>
      </c>
      <c r="D516" s="20" t="s">
        <v>150</v>
      </c>
      <c r="E516" s="20" t="s">
        <v>109</v>
      </c>
      <c r="F516" s="20" t="s">
        <v>54</v>
      </c>
      <c r="G516" s="20" t="s">
        <v>55</v>
      </c>
      <c r="H516" s="20" t="n">
        <v>3</v>
      </c>
      <c r="I516" s="24" t="n">
        <v>38</v>
      </c>
      <c r="J516" s="24" t="n">
        <v>16</v>
      </c>
      <c r="K516" s="24" t="n">
        <f aca="false">H516*I516</f>
        <v>114</v>
      </c>
      <c r="L516" s="24" t="n">
        <f aca="false">K516-H516*J516</f>
        <v>66</v>
      </c>
      <c r="M516" s="20" t="s">
        <v>50</v>
      </c>
    </row>
    <row r="517" customFormat="false" ht="15" hidden="false" customHeight="false" outlineLevel="0" collapsed="false">
      <c r="A517" s="20" t="s">
        <v>867</v>
      </c>
      <c r="B517" s="23" t="n">
        <v>45888</v>
      </c>
      <c r="C517" s="20" t="n">
        <f aca="false">MONTH(B517)</f>
        <v>8</v>
      </c>
      <c r="D517" s="20" t="s">
        <v>570</v>
      </c>
      <c r="E517" s="20" t="s">
        <v>109</v>
      </c>
      <c r="F517" s="20" t="s">
        <v>92</v>
      </c>
      <c r="G517" s="20" t="s">
        <v>196</v>
      </c>
      <c r="H517" s="20" t="n">
        <v>2</v>
      </c>
      <c r="I517" s="24" t="n">
        <v>89</v>
      </c>
      <c r="J517" s="24" t="n">
        <v>41</v>
      </c>
      <c r="K517" s="24" t="n">
        <f aca="false">H517*I517</f>
        <v>178</v>
      </c>
      <c r="L517" s="24" t="n">
        <f aca="false">K517-H517*J517</f>
        <v>96</v>
      </c>
      <c r="M517" s="20" t="s">
        <v>50</v>
      </c>
    </row>
    <row r="518" customFormat="false" ht="15" hidden="false" customHeight="false" outlineLevel="0" collapsed="false">
      <c r="A518" s="20" t="s">
        <v>1172</v>
      </c>
      <c r="B518" s="23" t="n">
        <v>45888</v>
      </c>
      <c r="C518" s="20" t="n">
        <f aca="false">MONTH(B518)</f>
        <v>8</v>
      </c>
      <c r="D518" s="20" t="s">
        <v>174</v>
      </c>
      <c r="E518" s="20" t="s">
        <v>59</v>
      </c>
      <c r="F518" s="20" t="s">
        <v>54</v>
      </c>
      <c r="G518" s="20" t="s">
        <v>55</v>
      </c>
      <c r="H518" s="20" t="n">
        <v>1</v>
      </c>
      <c r="I518" s="24" t="n">
        <v>38</v>
      </c>
      <c r="J518" s="24" t="n">
        <v>16</v>
      </c>
      <c r="K518" s="24" t="n">
        <f aca="false">H518*I518</f>
        <v>38</v>
      </c>
      <c r="L518" s="24" t="n">
        <f aca="false">K518-H518*J518</f>
        <v>22</v>
      </c>
      <c r="M518" s="20" t="s">
        <v>50</v>
      </c>
    </row>
    <row r="519" customFormat="false" ht="15" hidden="false" customHeight="false" outlineLevel="0" collapsed="false">
      <c r="A519" s="20" t="s">
        <v>1224</v>
      </c>
      <c r="B519" s="23" t="n">
        <v>45888</v>
      </c>
      <c r="C519" s="20" t="n">
        <f aca="false">MONTH(B519)</f>
        <v>8</v>
      </c>
      <c r="D519" s="20" t="s">
        <v>300</v>
      </c>
      <c r="E519" s="20" t="s">
        <v>70</v>
      </c>
      <c r="F519" s="20" t="s">
        <v>81</v>
      </c>
      <c r="G519" s="20" t="s">
        <v>61</v>
      </c>
      <c r="H519" s="20" t="n">
        <v>2</v>
      </c>
      <c r="I519" s="24" t="n">
        <v>35</v>
      </c>
      <c r="J519" s="24" t="n">
        <v>12</v>
      </c>
      <c r="K519" s="24" t="n">
        <f aca="false">H519*I519</f>
        <v>70</v>
      </c>
      <c r="L519" s="24" t="n">
        <f aca="false">K519-H519*J519</f>
        <v>46</v>
      </c>
      <c r="M519" s="20" t="s">
        <v>50</v>
      </c>
    </row>
    <row r="520" customFormat="false" ht="15" hidden="false" customHeight="false" outlineLevel="0" collapsed="false">
      <c r="A520" s="20" t="s">
        <v>1161</v>
      </c>
      <c r="B520" s="23" t="n">
        <v>45890</v>
      </c>
      <c r="C520" s="20" t="n">
        <f aca="false">MONTH(B520)</f>
        <v>8</v>
      </c>
      <c r="D520" s="20" t="s">
        <v>447</v>
      </c>
      <c r="E520" s="20" t="s">
        <v>65</v>
      </c>
      <c r="F520" s="20" t="s">
        <v>110</v>
      </c>
      <c r="G520" s="20" t="s">
        <v>121</v>
      </c>
      <c r="H520" s="20" t="n">
        <v>1</v>
      </c>
      <c r="I520" s="24" t="n">
        <v>21</v>
      </c>
      <c r="J520" s="24" t="n">
        <v>7</v>
      </c>
      <c r="K520" s="24" t="n">
        <f aca="false">H520*I520</f>
        <v>21</v>
      </c>
      <c r="L520" s="24" t="n">
        <f aca="false">K520-H520*J520</f>
        <v>14</v>
      </c>
      <c r="M520" s="20" t="s">
        <v>50</v>
      </c>
    </row>
    <row r="521" customFormat="false" ht="15" hidden="false" customHeight="false" outlineLevel="0" collapsed="false">
      <c r="A521" s="20" t="s">
        <v>1463</v>
      </c>
      <c r="B521" s="23" t="n">
        <v>45891</v>
      </c>
      <c r="C521" s="20" t="n">
        <f aca="false">MONTH(B521)</f>
        <v>8</v>
      </c>
      <c r="D521" s="20" t="s">
        <v>97</v>
      </c>
      <c r="E521" s="20" t="s">
        <v>65</v>
      </c>
      <c r="F521" s="20" t="s">
        <v>92</v>
      </c>
      <c r="G521" s="20" t="s">
        <v>105</v>
      </c>
      <c r="H521" s="20" t="n">
        <v>2</v>
      </c>
      <c r="I521" s="24" t="n">
        <v>49</v>
      </c>
      <c r="J521" s="24" t="n">
        <v>22</v>
      </c>
      <c r="K521" s="24" t="n">
        <f aca="false">H521*I521</f>
        <v>98</v>
      </c>
      <c r="L521" s="24" t="n">
        <f aca="false">K521-H521*J521</f>
        <v>54</v>
      </c>
      <c r="M521" s="20" t="s">
        <v>50</v>
      </c>
    </row>
    <row r="522" customFormat="false" ht="15" hidden="false" customHeight="false" outlineLevel="0" collapsed="false">
      <c r="A522" s="20" t="s">
        <v>1569</v>
      </c>
      <c r="B522" s="23" t="n">
        <v>45891</v>
      </c>
      <c r="C522" s="20" t="n">
        <f aca="false">MONTH(B522)</f>
        <v>8</v>
      </c>
      <c r="D522" s="20" t="s">
        <v>531</v>
      </c>
      <c r="E522" s="20" t="s">
        <v>70</v>
      </c>
      <c r="F522" s="20" t="s">
        <v>48</v>
      </c>
      <c r="G522" s="20" t="s">
        <v>144</v>
      </c>
      <c r="H522" s="20" t="n">
        <v>3</v>
      </c>
      <c r="I522" s="24" t="n">
        <v>54</v>
      </c>
      <c r="J522" s="24" t="n">
        <v>24</v>
      </c>
      <c r="K522" s="24" t="n">
        <f aca="false">H522*I522</f>
        <v>162</v>
      </c>
      <c r="L522" s="24" t="n">
        <f aca="false">K522-H522*J522</f>
        <v>90</v>
      </c>
      <c r="M522" s="20" t="s">
        <v>50</v>
      </c>
    </row>
    <row r="523" customFormat="false" ht="15" hidden="false" customHeight="false" outlineLevel="0" collapsed="false">
      <c r="A523" s="20" t="s">
        <v>662</v>
      </c>
      <c r="B523" s="23" t="n">
        <v>45891</v>
      </c>
      <c r="C523" s="20" t="n">
        <f aca="false">MONTH(B523)</f>
        <v>8</v>
      </c>
      <c r="D523" s="20" t="s">
        <v>195</v>
      </c>
      <c r="E523" s="20" t="s">
        <v>109</v>
      </c>
      <c r="F523" s="20" t="s">
        <v>92</v>
      </c>
      <c r="G523" s="20" t="s">
        <v>196</v>
      </c>
      <c r="H523" s="20" t="n">
        <v>2</v>
      </c>
      <c r="I523" s="24" t="n">
        <v>89</v>
      </c>
      <c r="J523" s="24" t="n">
        <v>41</v>
      </c>
      <c r="K523" s="24" t="n">
        <f aca="false">H523*I523</f>
        <v>178</v>
      </c>
      <c r="L523" s="24" t="n">
        <f aca="false">K523-H523*J523</f>
        <v>96</v>
      </c>
      <c r="M523" s="20" t="s">
        <v>50</v>
      </c>
    </row>
    <row r="524" customFormat="false" ht="15" hidden="false" customHeight="false" outlineLevel="0" collapsed="false">
      <c r="A524" s="20" t="s">
        <v>1530</v>
      </c>
      <c r="B524" s="23" t="n">
        <v>45893</v>
      </c>
      <c r="C524" s="20" t="n">
        <f aca="false">MONTH(B524)</f>
        <v>8</v>
      </c>
      <c r="D524" s="20" t="s">
        <v>272</v>
      </c>
      <c r="E524" s="20" t="s">
        <v>47</v>
      </c>
      <c r="F524" s="20" t="s">
        <v>54</v>
      </c>
      <c r="G524" s="20" t="s">
        <v>55</v>
      </c>
      <c r="H524" s="20" t="n">
        <v>3</v>
      </c>
      <c r="I524" s="24" t="n">
        <v>38</v>
      </c>
      <c r="J524" s="24" t="n">
        <v>16</v>
      </c>
      <c r="K524" s="24" t="n">
        <f aca="false">H524*I524</f>
        <v>114</v>
      </c>
      <c r="L524" s="24" t="n">
        <f aca="false">K524-H524*J524</f>
        <v>66</v>
      </c>
      <c r="M524" s="20" t="s">
        <v>50</v>
      </c>
    </row>
    <row r="525" customFormat="false" ht="15" hidden="false" customHeight="false" outlineLevel="0" collapsed="false">
      <c r="A525" s="20" t="s">
        <v>1328</v>
      </c>
      <c r="B525" s="23" t="n">
        <v>45893</v>
      </c>
      <c r="C525" s="20" t="n">
        <f aca="false">MONTH(B525)</f>
        <v>8</v>
      </c>
      <c r="D525" s="20" t="s">
        <v>431</v>
      </c>
      <c r="E525" s="20" t="s">
        <v>59</v>
      </c>
      <c r="F525" s="20" t="s">
        <v>81</v>
      </c>
      <c r="G525" s="20" t="s">
        <v>67</v>
      </c>
      <c r="H525" s="20" t="n">
        <v>1</v>
      </c>
      <c r="I525" s="24" t="n">
        <v>45</v>
      </c>
      <c r="J525" s="24" t="n">
        <v>17</v>
      </c>
      <c r="K525" s="24" t="n">
        <f aca="false">H525*I525</f>
        <v>45</v>
      </c>
      <c r="L525" s="24" t="n">
        <f aca="false">K525-H525*J525</f>
        <v>28</v>
      </c>
      <c r="M525" s="20" t="s">
        <v>50</v>
      </c>
    </row>
    <row r="526" customFormat="false" ht="15" hidden="false" customHeight="false" outlineLevel="0" collapsed="false">
      <c r="A526" s="20" t="s">
        <v>1414</v>
      </c>
      <c r="B526" s="23" t="n">
        <v>45893</v>
      </c>
      <c r="C526" s="20" t="n">
        <f aca="false">MONTH(B526)</f>
        <v>8</v>
      </c>
      <c r="D526" s="20" t="s">
        <v>104</v>
      </c>
      <c r="E526" s="20" t="s">
        <v>59</v>
      </c>
      <c r="F526" s="20" t="s">
        <v>92</v>
      </c>
      <c r="G526" s="20" t="s">
        <v>105</v>
      </c>
      <c r="H526" s="20" t="n">
        <v>1</v>
      </c>
      <c r="I526" s="24" t="n">
        <v>49</v>
      </c>
      <c r="J526" s="24" t="n">
        <v>22</v>
      </c>
      <c r="K526" s="24" t="n">
        <f aca="false">H526*I526</f>
        <v>49</v>
      </c>
      <c r="L526" s="24" t="n">
        <f aca="false">K526-H526*J526</f>
        <v>27</v>
      </c>
      <c r="M526" s="20" t="s">
        <v>50</v>
      </c>
    </row>
    <row r="527" customFormat="false" ht="15" hidden="false" customHeight="false" outlineLevel="0" collapsed="false">
      <c r="A527" s="20" t="s">
        <v>1346</v>
      </c>
      <c r="B527" s="23" t="n">
        <v>45893</v>
      </c>
      <c r="C527" s="20" t="n">
        <f aca="false">MONTH(B527)</f>
        <v>8</v>
      </c>
      <c r="D527" s="20" t="s">
        <v>115</v>
      </c>
      <c r="E527" s="20" t="s">
        <v>47</v>
      </c>
      <c r="F527" s="20" t="s">
        <v>54</v>
      </c>
      <c r="G527" s="20" t="s">
        <v>55</v>
      </c>
      <c r="H527" s="20" t="n">
        <v>2</v>
      </c>
      <c r="I527" s="24" t="n">
        <v>38</v>
      </c>
      <c r="J527" s="24" t="n">
        <v>16</v>
      </c>
      <c r="K527" s="24" t="n">
        <f aca="false">H527*I527</f>
        <v>76</v>
      </c>
      <c r="L527" s="24" t="n">
        <f aca="false">K527-H527*J527</f>
        <v>44</v>
      </c>
      <c r="M527" s="20" t="s">
        <v>50</v>
      </c>
    </row>
    <row r="528" customFormat="false" ht="15" hidden="false" customHeight="false" outlineLevel="0" collapsed="false">
      <c r="A528" s="20" t="s">
        <v>1198</v>
      </c>
      <c r="B528" s="23" t="n">
        <v>45894</v>
      </c>
      <c r="C528" s="20" t="n">
        <f aca="false">MONTH(B528)</f>
        <v>8</v>
      </c>
      <c r="D528" s="20" t="s">
        <v>362</v>
      </c>
      <c r="E528" s="20" t="s">
        <v>47</v>
      </c>
      <c r="F528" s="20" t="s">
        <v>54</v>
      </c>
      <c r="G528" s="20" t="s">
        <v>76</v>
      </c>
      <c r="H528" s="20" t="n">
        <v>1</v>
      </c>
      <c r="I528" s="24" t="n">
        <v>32</v>
      </c>
      <c r="J528" s="24" t="n">
        <v>13</v>
      </c>
      <c r="K528" s="24" t="n">
        <f aca="false">H528*I528</f>
        <v>32</v>
      </c>
      <c r="L528" s="24" t="n">
        <f aca="false">K528-H528*J528</f>
        <v>19</v>
      </c>
      <c r="M528" s="20" t="s">
        <v>50</v>
      </c>
    </row>
    <row r="529" customFormat="false" ht="15" hidden="false" customHeight="false" outlineLevel="0" collapsed="false">
      <c r="A529" s="20" t="s">
        <v>593</v>
      </c>
      <c r="B529" s="23" t="n">
        <v>45894</v>
      </c>
      <c r="C529" s="20" t="n">
        <f aca="false">MONTH(B529)</f>
        <v>8</v>
      </c>
      <c r="D529" s="20" t="s">
        <v>156</v>
      </c>
      <c r="E529" s="20" t="s">
        <v>47</v>
      </c>
      <c r="F529" s="20" t="s">
        <v>81</v>
      </c>
      <c r="G529" s="20" t="s">
        <v>61</v>
      </c>
      <c r="H529" s="20" t="n">
        <v>1</v>
      </c>
      <c r="I529" s="24" t="n">
        <v>35</v>
      </c>
      <c r="J529" s="24" t="n">
        <v>12</v>
      </c>
      <c r="K529" s="24" t="n">
        <f aca="false">H529*I529</f>
        <v>35</v>
      </c>
      <c r="L529" s="24" t="n">
        <f aca="false">K529-H529*J529</f>
        <v>23</v>
      </c>
      <c r="M529" s="20" t="s">
        <v>50</v>
      </c>
    </row>
    <row r="530" customFormat="false" ht="15" hidden="false" customHeight="false" outlineLevel="0" collapsed="false">
      <c r="A530" s="20" t="s">
        <v>481</v>
      </c>
      <c r="B530" s="23" t="n">
        <v>45894</v>
      </c>
      <c r="C530" s="20" t="n">
        <f aca="false">MONTH(B530)</f>
        <v>8</v>
      </c>
      <c r="D530" s="20" t="s">
        <v>483</v>
      </c>
      <c r="E530" s="20" t="s">
        <v>70</v>
      </c>
      <c r="F530" s="20" t="s">
        <v>92</v>
      </c>
      <c r="G530" s="20" t="s">
        <v>105</v>
      </c>
      <c r="H530" s="20" t="n">
        <v>2</v>
      </c>
      <c r="I530" s="24" t="n">
        <v>49</v>
      </c>
      <c r="J530" s="24" t="n">
        <v>22</v>
      </c>
      <c r="K530" s="24" t="n">
        <f aca="false">H530*I530</f>
        <v>98</v>
      </c>
      <c r="L530" s="24" t="n">
        <f aca="false">K530-H530*J530</f>
        <v>54</v>
      </c>
      <c r="M530" s="20" t="s">
        <v>50</v>
      </c>
    </row>
    <row r="531" customFormat="false" ht="15" hidden="false" customHeight="false" outlineLevel="0" collapsed="false">
      <c r="A531" s="20" t="s">
        <v>1583</v>
      </c>
      <c r="B531" s="23" t="n">
        <v>45894</v>
      </c>
      <c r="C531" s="20" t="n">
        <f aca="false">MONTH(B531)</f>
        <v>8</v>
      </c>
      <c r="D531" s="20" t="s">
        <v>1008</v>
      </c>
      <c r="E531" s="20" t="s">
        <v>47</v>
      </c>
      <c r="F531" s="20" t="s">
        <v>54</v>
      </c>
      <c r="G531" s="20" t="s">
        <v>72</v>
      </c>
      <c r="H531" s="20" t="n">
        <v>2</v>
      </c>
      <c r="I531" s="24" t="n">
        <v>24</v>
      </c>
      <c r="J531" s="24" t="n">
        <v>9</v>
      </c>
      <c r="K531" s="24" t="n">
        <f aca="false">H531*I531</f>
        <v>48</v>
      </c>
      <c r="L531" s="24" t="n">
        <f aca="false">K531-H531*J531</f>
        <v>30</v>
      </c>
      <c r="M531" s="20" t="s">
        <v>50</v>
      </c>
    </row>
    <row r="532" customFormat="false" ht="15" hidden="false" customHeight="false" outlineLevel="0" collapsed="false">
      <c r="A532" s="20" t="s">
        <v>1607</v>
      </c>
      <c r="B532" s="23" t="n">
        <v>45895</v>
      </c>
      <c r="C532" s="20" t="n">
        <f aca="false">MONTH(B532)</f>
        <v>8</v>
      </c>
      <c r="D532" s="20" t="s">
        <v>519</v>
      </c>
      <c r="E532" s="20" t="s">
        <v>70</v>
      </c>
      <c r="F532" s="20" t="s">
        <v>54</v>
      </c>
      <c r="G532" s="20" t="s">
        <v>72</v>
      </c>
      <c r="H532" s="20" t="n">
        <v>2</v>
      </c>
      <c r="I532" s="24" t="n">
        <v>24</v>
      </c>
      <c r="J532" s="24" t="n">
        <v>9</v>
      </c>
      <c r="K532" s="24" t="n">
        <f aca="false">H532*I532</f>
        <v>48</v>
      </c>
      <c r="L532" s="24" t="n">
        <f aca="false">K532-H532*J532</f>
        <v>30</v>
      </c>
      <c r="M532" s="20" t="s">
        <v>50</v>
      </c>
    </row>
    <row r="533" customFormat="false" ht="15" hidden="false" customHeight="false" outlineLevel="0" collapsed="false">
      <c r="A533" s="20" t="s">
        <v>178</v>
      </c>
      <c r="B533" s="23" t="n">
        <v>45895</v>
      </c>
      <c r="C533" s="20" t="n">
        <f aca="false">MONTH(B533)</f>
        <v>8</v>
      </c>
      <c r="D533" s="20" t="s">
        <v>909</v>
      </c>
      <c r="E533" s="20" t="s">
        <v>47</v>
      </c>
      <c r="F533" s="20" t="s">
        <v>48</v>
      </c>
      <c r="G533" s="20" t="s">
        <v>49</v>
      </c>
      <c r="H533" s="20" t="n">
        <v>1</v>
      </c>
      <c r="I533" s="24" t="n">
        <v>18</v>
      </c>
      <c r="J533" s="24" t="n">
        <v>5</v>
      </c>
      <c r="K533" s="24" t="n">
        <f aca="false">H533*I533</f>
        <v>18</v>
      </c>
      <c r="L533" s="24" t="n">
        <f aca="false">K533-H533*J533</f>
        <v>13</v>
      </c>
      <c r="M533" s="20" t="s">
        <v>50</v>
      </c>
    </row>
    <row r="534" customFormat="false" ht="15" hidden="false" customHeight="false" outlineLevel="0" collapsed="false">
      <c r="A534" s="20" t="s">
        <v>1284</v>
      </c>
      <c r="B534" s="23" t="n">
        <v>45895</v>
      </c>
      <c r="C534" s="20" t="n">
        <f aca="false">MONTH(B534)</f>
        <v>8</v>
      </c>
      <c r="D534" s="20" t="s">
        <v>719</v>
      </c>
      <c r="E534" s="20" t="s">
        <v>70</v>
      </c>
      <c r="F534" s="20" t="s">
        <v>92</v>
      </c>
      <c r="G534" s="20" t="s">
        <v>105</v>
      </c>
      <c r="H534" s="20" t="n">
        <v>1</v>
      </c>
      <c r="I534" s="24" t="n">
        <v>49</v>
      </c>
      <c r="J534" s="24" t="n">
        <v>22</v>
      </c>
      <c r="K534" s="24" t="n">
        <f aca="false">H534*I534</f>
        <v>49</v>
      </c>
      <c r="L534" s="24" t="n">
        <f aca="false">K534-H534*J534</f>
        <v>27</v>
      </c>
      <c r="M534" s="20" t="s">
        <v>50</v>
      </c>
    </row>
    <row r="535" customFormat="false" ht="15" hidden="false" customHeight="false" outlineLevel="0" collapsed="false">
      <c r="A535" s="20" t="s">
        <v>1658</v>
      </c>
      <c r="B535" s="23" t="n">
        <v>45895</v>
      </c>
      <c r="C535" s="20" t="n">
        <f aca="false">MONTH(B535)</f>
        <v>8</v>
      </c>
      <c r="D535" s="20" t="s">
        <v>192</v>
      </c>
      <c r="E535" s="20" t="s">
        <v>47</v>
      </c>
      <c r="F535" s="20" t="s">
        <v>48</v>
      </c>
      <c r="G535" s="20" t="s">
        <v>116</v>
      </c>
      <c r="H535" s="20" t="n">
        <v>2</v>
      </c>
      <c r="I535" s="24" t="n">
        <v>28</v>
      </c>
      <c r="J535" s="24" t="n">
        <v>9</v>
      </c>
      <c r="K535" s="24" t="n">
        <f aca="false">H535*I535</f>
        <v>56</v>
      </c>
      <c r="L535" s="24" t="n">
        <f aca="false">K535-H535*J535</f>
        <v>38</v>
      </c>
      <c r="M535" s="20" t="s">
        <v>50</v>
      </c>
    </row>
    <row r="536" customFormat="false" ht="15" hidden="false" customHeight="false" outlineLevel="0" collapsed="false">
      <c r="A536" s="20" t="s">
        <v>748</v>
      </c>
      <c r="B536" s="23" t="n">
        <v>45896</v>
      </c>
      <c r="C536" s="20" t="n">
        <f aca="false">MONTH(B536)</f>
        <v>8</v>
      </c>
      <c r="D536" s="20" t="s">
        <v>592</v>
      </c>
      <c r="E536" s="20" t="s">
        <v>70</v>
      </c>
      <c r="F536" s="20" t="s">
        <v>81</v>
      </c>
      <c r="G536" s="20" t="s">
        <v>61</v>
      </c>
      <c r="H536" s="20" t="n">
        <v>4</v>
      </c>
      <c r="I536" s="24" t="n">
        <v>35</v>
      </c>
      <c r="J536" s="24" t="n">
        <v>12</v>
      </c>
      <c r="K536" s="24" t="n">
        <f aca="false">H536*I536</f>
        <v>140</v>
      </c>
      <c r="L536" s="24" t="n">
        <f aca="false">K536-H536*J536</f>
        <v>92</v>
      </c>
      <c r="M536" s="20" t="s">
        <v>50</v>
      </c>
    </row>
    <row r="537" customFormat="false" ht="15" hidden="false" customHeight="false" outlineLevel="0" collapsed="false">
      <c r="A537" s="20" t="s">
        <v>973</v>
      </c>
      <c r="B537" s="23" t="n">
        <v>45896</v>
      </c>
      <c r="C537" s="20" t="n">
        <f aca="false">MONTH(B537)</f>
        <v>8</v>
      </c>
      <c r="D537" s="20" t="s">
        <v>557</v>
      </c>
      <c r="E537" s="20" t="s">
        <v>70</v>
      </c>
      <c r="F537" s="20" t="s">
        <v>54</v>
      </c>
      <c r="G537" s="20" t="s">
        <v>76</v>
      </c>
      <c r="H537" s="20" t="n">
        <v>1</v>
      </c>
      <c r="I537" s="24" t="n">
        <v>32</v>
      </c>
      <c r="J537" s="24" t="n">
        <v>13</v>
      </c>
      <c r="K537" s="24" t="n">
        <f aca="false">H537*I537</f>
        <v>32</v>
      </c>
      <c r="L537" s="24" t="n">
        <f aca="false">K537-H537*J537</f>
        <v>19</v>
      </c>
      <c r="M537" s="20" t="s">
        <v>50</v>
      </c>
    </row>
    <row r="538" customFormat="false" ht="15" hidden="false" customHeight="false" outlineLevel="0" collapsed="false">
      <c r="A538" s="20" t="s">
        <v>883</v>
      </c>
      <c r="B538" s="23" t="n">
        <v>45896</v>
      </c>
      <c r="C538" s="20" t="n">
        <f aca="false">MONTH(B538)</f>
        <v>8</v>
      </c>
      <c r="D538" s="20" t="s">
        <v>380</v>
      </c>
      <c r="E538" s="20" t="s">
        <v>70</v>
      </c>
      <c r="F538" s="20" t="s">
        <v>81</v>
      </c>
      <c r="G538" s="20" t="s">
        <v>82</v>
      </c>
      <c r="H538" s="20" t="n">
        <v>2</v>
      </c>
      <c r="I538" s="24" t="n">
        <v>22</v>
      </c>
      <c r="J538" s="24" t="n">
        <v>8</v>
      </c>
      <c r="K538" s="24" t="n">
        <f aca="false">H538*I538</f>
        <v>44</v>
      </c>
      <c r="L538" s="24" t="n">
        <f aca="false">K538-H538*J538</f>
        <v>28</v>
      </c>
      <c r="M538" s="20" t="s">
        <v>50</v>
      </c>
    </row>
    <row r="539" customFormat="false" ht="15" hidden="false" customHeight="false" outlineLevel="0" collapsed="false">
      <c r="A539" s="20" t="s">
        <v>799</v>
      </c>
      <c r="B539" s="23" t="n">
        <v>45897</v>
      </c>
      <c r="C539" s="20" t="n">
        <f aca="false">MONTH(B539)</f>
        <v>8</v>
      </c>
      <c r="D539" s="20" t="s">
        <v>801</v>
      </c>
      <c r="E539" s="20" t="s">
        <v>65</v>
      </c>
      <c r="F539" s="20" t="s">
        <v>48</v>
      </c>
      <c r="G539" s="20" t="s">
        <v>116</v>
      </c>
      <c r="H539" s="20" t="n">
        <v>1</v>
      </c>
      <c r="I539" s="24" t="n">
        <v>28</v>
      </c>
      <c r="J539" s="24" t="n">
        <v>9</v>
      </c>
      <c r="K539" s="24" t="n">
        <f aca="false">H539*I539</f>
        <v>28</v>
      </c>
      <c r="L539" s="24" t="n">
        <f aca="false">K539-H539*J539</f>
        <v>19</v>
      </c>
      <c r="M539" s="20" t="s">
        <v>50</v>
      </c>
    </row>
    <row r="540" customFormat="false" ht="15" hidden="false" customHeight="false" outlineLevel="0" collapsed="false">
      <c r="A540" s="20" t="s">
        <v>1059</v>
      </c>
      <c r="B540" s="23" t="n">
        <v>45897</v>
      </c>
      <c r="C540" s="20" t="n">
        <f aca="false">MONTH(B540)</f>
        <v>8</v>
      </c>
      <c r="D540" s="20" t="s">
        <v>431</v>
      </c>
      <c r="E540" s="20" t="s">
        <v>70</v>
      </c>
      <c r="F540" s="20" t="s">
        <v>110</v>
      </c>
      <c r="G540" s="20" t="s">
        <v>236</v>
      </c>
      <c r="H540" s="20" t="n">
        <v>1</v>
      </c>
      <c r="I540" s="24" t="n">
        <v>30</v>
      </c>
      <c r="J540" s="24" t="n">
        <v>11</v>
      </c>
      <c r="K540" s="24" t="n">
        <f aca="false">H540*I540</f>
        <v>30</v>
      </c>
      <c r="L540" s="24" t="n">
        <f aca="false">K540-H540*J540</f>
        <v>19</v>
      </c>
      <c r="M540" s="20" t="s">
        <v>50</v>
      </c>
    </row>
    <row r="541" customFormat="false" ht="15" hidden="false" customHeight="false" outlineLevel="0" collapsed="false">
      <c r="A541" s="20" t="s">
        <v>1277</v>
      </c>
      <c r="B541" s="23" t="n">
        <v>45901</v>
      </c>
      <c r="C541" s="20" t="n">
        <f aca="false">MONTH(B541)</f>
        <v>9</v>
      </c>
      <c r="D541" s="20" t="s">
        <v>422</v>
      </c>
      <c r="E541" s="20" t="s">
        <v>47</v>
      </c>
      <c r="F541" s="20" t="s">
        <v>48</v>
      </c>
      <c r="G541" s="20" t="s">
        <v>116</v>
      </c>
      <c r="H541" s="20" t="n">
        <v>3</v>
      </c>
      <c r="I541" s="24" t="n">
        <v>28</v>
      </c>
      <c r="J541" s="24" t="n">
        <v>9</v>
      </c>
      <c r="K541" s="24" t="n">
        <f aca="false">H541*I541</f>
        <v>84</v>
      </c>
      <c r="L541" s="24" t="n">
        <f aca="false">K541-H541*J541</f>
        <v>57</v>
      </c>
      <c r="M541" s="20" t="s">
        <v>50</v>
      </c>
    </row>
    <row r="542" customFormat="false" ht="15" hidden="false" customHeight="false" outlineLevel="0" collapsed="false">
      <c r="A542" s="20" t="s">
        <v>1429</v>
      </c>
      <c r="B542" s="23" t="n">
        <v>45901</v>
      </c>
      <c r="C542" s="20" t="n">
        <f aca="false">MONTH(B542)</f>
        <v>9</v>
      </c>
      <c r="D542" s="20" t="s">
        <v>69</v>
      </c>
      <c r="E542" s="20" t="s">
        <v>65</v>
      </c>
      <c r="F542" s="20" t="s">
        <v>48</v>
      </c>
      <c r="G542" s="20" t="s">
        <v>144</v>
      </c>
      <c r="H542" s="20" t="n">
        <v>1</v>
      </c>
      <c r="I542" s="24" t="n">
        <v>54</v>
      </c>
      <c r="J542" s="24" t="n">
        <v>24</v>
      </c>
      <c r="K542" s="24" t="n">
        <f aca="false">H542*I542</f>
        <v>54</v>
      </c>
      <c r="L542" s="24" t="n">
        <f aca="false">K542-H542*J542</f>
        <v>30</v>
      </c>
      <c r="M542" s="20" t="s">
        <v>50</v>
      </c>
    </row>
    <row r="543" customFormat="false" ht="15" hidden="false" customHeight="false" outlineLevel="0" collapsed="false">
      <c r="A543" s="20" t="s">
        <v>1556</v>
      </c>
      <c r="B543" s="23" t="n">
        <v>45902</v>
      </c>
      <c r="C543" s="20" t="n">
        <f aca="false">MONTH(B543)</f>
        <v>9</v>
      </c>
      <c r="D543" s="20" t="s">
        <v>375</v>
      </c>
      <c r="E543" s="20" t="s">
        <v>109</v>
      </c>
      <c r="F543" s="20" t="s">
        <v>92</v>
      </c>
      <c r="G543" s="20" t="s">
        <v>105</v>
      </c>
      <c r="H543" s="20" t="n">
        <v>1</v>
      </c>
      <c r="I543" s="24" t="n">
        <v>49</v>
      </c>
      <c r="J543" s="24" t="n">
        <v>22</v>
      </c>
      <c r="K543" s="24" t="n">
        <f aca="false">H543*I543</f>
        <v>49</v>
      </c>
      <c r="L543" s="24" t="n">
        <f aca="false">K543-H543*J543</f>
        <v>27</v>
      </c>
      <c r="M543" s="20" t="s">
        <v>50</v>
      </c>
    </row>
    <row r="544" customFormat="false" ht="15" hidden="false" customHeight="false" outlineLevel="0" collapsed="false">
      <c r="A544" s="20" t="s">
        <v>951</v>
      </c>
      <c r="B544" s="23" t="n">
        <v>45902</v>
      </c>
      <c r="C544" s="20" t="n">
        <f aca="false">MONTH(B544)</f>
        <v>9</v>
      </c>
      <c r="D544" s="20" t="s">
        <v>269</v>
      </c>
      <c r="E544" s="20" t="s">
        <v>47</v>
      </c>
      <c r="F544" s="20" t="s">
        <v>54</v>
      </c>
      <c r="G544" s="20" t="s">
        <v>76</v>
      </c>
      <c r="H544" s="20" t="n">
        <v>1</v>
      </c>
      <c r="I544" s="24" t="n">
        <v>32</v>
      </c>
      <c r="J544" s="24" t="n">
        <v>13</v>
      </c>
      <c r="K544" s="24" t="n">
        <f aca="false">H544*I544</f>
        <v>32</v>
      </c>
      <c r="L544" s="24" t="n">
        <f aca="false">K544-H544*J544</f>
        <v>19</v>
      </c>
      <c r="M544" s="20" t="s">
        <v>50</v>
      </c>
    </row>
    <row r="545" customFormat="false" ht="15" hidden="false" customHeight="false" outlineLevel="0" collapsed="false">
      <c r="A545" s="20" t="s">
        <v>555</v>
      </c>
      <c r="B545" s="23" t="n">
        <v>45902</v>
      </c>
      <c r="C545" s="20" t="n">
        <f aca="false">MONTH(B545)</f>
        <v>9</v>
      </c>
      <c r="D545" s="20" t="s">
        <v>557</v>
      </c>
      <c r="E545" s="20" t="s">
        <v>47</v>
      </c>
      <c r="F545" s="20" t="s">
        <v>92</v>
      </c>
      <c r="G545" s="20" t="s">
        <v>105</v>
      </c>
      <c r="H545" s="20" t="n">
        <v>2</v>
      </c>
      <c r="I545" s="24" t="n">
        <v>49</v>
      </c>
      <c r="J545" s="24" t="n">
        <v>22</v>
      </c>
      <c r="K545" s="24" t="n">
        <f aca="false">H545*I545</f>
        <v>98</v>
      </c>
      <c r="L545" s="24" t="n">
        <f aca="false">K545-H545*J545</f>
        <v>54</v>
      </c>
      <c r="M545" s="20" t="s">
        <v>50</v>
      </c>
    </row>
    <row r="546" customFormat="false" ht="15" hidden="false" customHeight="false" outlineLevel="0" collapsed="false">
      <c r="A546" s="20" t="s">
        <v>1616</v>
      </c>
      <c r="B546" s="23" t="n">
        <v>45902</v>
      </c>
      <c r="C546" s="20" t="n">
        <f aca="false">MONTH(B546)</f>
        <v>9</v>
      </c>
      <c r="D546" s="20" t="s">
        <v>323</v>
      </c>
      <c r="E546" s="20" t="s">
        <v>59</v>
      </c>
      <c r="F546" s="20" t="s">
        <v>110</v>
      </c>
      <c r="G546" s="20" t="s">
        <v>121</v>
      </c>
      <c r="H546" s="20" t="n">
        <v>1</v>
      </c>
      <c r="I546" s="24" t="n">
        <v>21</v>
      </c>
      <c r="J546" s="24" t="n">
        <v>7</v>
      </c>
      <c r="K546" s="24" t="n">
        <f aca="false">H546*I546</f>
        <v>21</v>
      </c>
      <c r="L546" s="24" t="n">
        <f aca="false">K546-H546*J546</f>
        <v>14</v>
      </c>
      <c r="M546" s="20" t="s">
        <v>50</v>
      </c>
    </row>
    <row r="547" customFormat="false" ht="15" hidden="false" customHeight="false" outlineLevel="0" collapsed="false">
      <c r="A547" s="20" t="s">
        <v>902</v>
      </c>
      <c r="B547" s="23" t="n">
        <v>45903</v>
      </c>
      <c r="C547" s="20" t="n">
        <f aca="false">MONTH(B547)</f>
        <v>9</v>
      </c>
      <c r="D547" s="20" t="s">
        <v>526</v>
      </c>
      <c r="E547" s="20" t="s">
        <v>109</v>
      </c>
      <c r="F547" s="20" t="s">
        <v>48</v>
      </c>
      <c r="G547" s="20" t="s">
        <v>116</v>
      </c>
      <c r="H547" s="20" t="n">
        <v>1</v>
      </c>
      <c r="I547" s="24" t="n">
        <v>28</v>
      </c>
      <c r="J547" s="24" t="n">
        <v>9</v>
      </c>
      <c r="K547" s="24" t="n">
        <f aca="false">H547*I547</f>
        <v>28</v>
      </c>
      <c r="L547" s="24" t="n">
        <f aca="false">K547-H547*J547</f>
        <v>19</v>
      </c>
      <c r="M547" s="20" t="s">
        <v>50</v>
      </c>
    </row>
    <row r="548" customFormat="false" ht="15" hidden="false" customHeight="false" outlineLevel="0" collapsed="false">
      <c r="A548" s="20" t="s">
        <v>821</v>
      </c>
      <c r="B548" s="23" t="n">
        <v>45903</v>
      </c>
      <c r="C548" s="20" t="n">
        <f aca="false">MONTH(B548)</f>
        <v>9</v>
      </c>
      <c r="D548" s="20" t="s">
        <v>86</v>
      </c>
      <c r="E548" s="20" t="s">
        <v>65</v>
      </c>
      <c r="F548" s="20" t="s">
        <v>48</v>
      </c>
      <c r="G548" s="20" t="s">
        <v>116</v>
      </c>
      <c r="H548" s="20" t="n">
        <v>1</v>
      </c>
      <c r="I548" s="24" t="n">
        <v>28</v>
      </c>
      <c r="J548" s="24" t="n">
        <v>9</v>
      </c>
      <c r="K548" s="24" t="n">
        <f aca="false">H548*I548</f>
        <v>28</v>
      </c>
      <c r="L548" s="24" t="n">
        <f aca="false">K548-H548*J548</f>
        <v>19</v>
      </c>
      <c r="M548" s="20" t="s">
        <v>50</v>
      </c>
    </row>
    <row r="549" customFormat="false" ht="15" hidden="false" customHeight="false" outlineLevel="0" collapsed="false">
      <c r="A549" s="20" t="s">
        <v>1680</v>
      </c>
      <c r="B549" s="23" t="n">
        <v>45903</v>
      </c>
      <c r="C549" s="20" t="n">
        <f aca="false">MONTH(B549)</f>
        <v>9</v>
      </c>
      <c r="D549" s="20" t="s">
        <v>357</v>
      </c>
      <c r="E549" s="20" t="s">
        <v>59</v>
      </c>
      <c r="F549" s="20" t="s">
        <v>92</v>
      </c>
      <c r="G549" s="20" t="s">
        <v>93</v>
      </c>
      <c r="H549" s="20" t="n">
        <v>1</v>
      </c>
      <c r="I549" s="24" t="n">
        <v>15</v>
      </c>
      <c r="J549" s="24" t="n">
        <v>5</v>
      </c>
      <c r="K549" s="24" t="n">
        <f aca="false">H549*I549</f>
        <v>15</v>
      </c>
      <c r="L549" s="24" t="n">
        <f aca="false">K549-H549*J549</f>
        <v>10</v>
      </c>
      <c r="M549" s="20" t="s">
        <v>50</v>
      </c>
    </row>
    <row r="550" customFormat="false" ht="15" hidden="false" customHeight="false" outlineLevel="0" collapsed="false">
      <c r="A550" s="20" t="s">
        <v>1326</v>
      </c>
      <c r="B550" s="23" t="n">
        <v>45903</v>
      </c>
      <c r="C550" s="20" t="n">
        <f aca="false">MONTH(B550)</f>
        <v>9</v>
      </c>
      <c r="D550" s="20" t="s">
        <v>1008</v>
      </c>
      <c r="E550" s="20" t="s">
        <v>59</v>
      </c>
      <c r="F550" s="20" t="s">
        <v>54</v>
      </c>
      <c r="G550" s="20" t="s">
        <v>76</v>
      </c>
      <c r="H550" s="20" t="n">
        <v>2</v>
      </c>
      <c r="I550" s="24" t="n">
        <v>32</v>
      </c>
      <c r="J550" s="24" t="n">
        <v>13</v>
      </c>
      <c r="K550" s="24" t="n">
        <f aca="false">H550*I550</f>
        <v>64</v>
      </c>
      <c r="L550" s="24" t="n">
        <f aca="false">K550-H550*J550</f>
        <v>38</v>
      </c>
      <c r="M550" s="20" t="s">
        <v>50</v>
      </c>
    </row>
    <row r="551" customFormat="false" ht="15" hidden="false" customHeight="false" outlineLevel="0" collapsed="false">
      <c r="A551" s="20" t="s">
        <v>1111</v>
      </c>
      <c r="B551" s="23" t="n">
        <v>45903</v>
      </c>
      <c r="C551" s="20" t="n">
        <f aca="false">MONTH(B551)</f>
        <v>9</v>
      </c>
      <c r="D551" s="20" t="s">
        <v>447</v>
      </c>
      <c r="E551" s="20" t="s">
        <v>70</v>
      </c>
      <c r="F551" s="20" t="s">
        <v>54</v>
      </c>
      <c r="G551" s="20" t="s">
        <v>76</v>
      </c>
      <c r="H551" s="20" t="n">
        <v>1</v>
      </c>
      <c r="I551" s="24" t="n">
        <v>32</v>
      </c>
      <c r="J551" s="24" t="n">
        <v>13</v>
      </c>
      <c r="K551" s="24" t="n">
        <f aca="false">H551*I551</f>
        <v>32</v>
      </c>
      <c r="L551" s="24" t="n">
        <f aca="false">K551-H551*J551</f>
        <v>19</v>
      </c>
      <c r="M551" s="20" t="s">
        <v>50</v>
      </c>
    </row>
    <row r="552" customFormat="false" ht="15" hidden="false" customHeight="false" outlineLevel="0" collapsed="false">
      <c r="A552" s="20" t="s">
        <v>566</v>
      </c>
      <c r="B552" s="23" t="n">
        <v>45904</v>
      </c>
      <c r="C552" s="20" t="n">
        <f aca="false">MONTH(B552)</f>
        <v>9</v>
      </c>
      <c r="D552" s="20" t="s">
        <v>100</v>
      </c>
      <c r="E552" s="20" t="s">
        <v>59</v>
      </c>
      <c r="F552" s="20" t="s">
        <v>81</v>
      </c>
      <c r="G552" s="20" t="s">
        <v>82</v>
      </c>
      <c r="H552" s="20" t="n">
        <v>2</v>
      </c>
      <c r="I552" s="24" t="n">
        <v>22</v>
      </c>
      <c r="J552" s="24" t="n">
        <v>8</v>
      </c>
      <c r="K552" s="24" t="n">
        <f aca="false">H552*I552</f>
        <v>44</v>
      </c>
      <c r="L552" s="24" t="n">
        <f aca="false">K552-H552*J552</f>
        <v>28</v>
      </c>
      <c r="M552" s="20" t="s">
        <v>50</v>
      </c>
    </row>
    <row r="553" customFormat="false" ht="15" hidden="false" customHeight="false" outlineLevel="0" collapsed="false">
      <c r="A553" s="20" t="s">
        <v>633</v>
      </c>
      <c r="B553" s="23" t="n">
        <v>45904</v>
      </c>
      <c r="C553" s="20" t="n">
        <f aca="false">MONTH(B553)</f>
        <v>9</v>
      </c>
      <c r="D553" s="20" t="s">
        <v>634</v>
      </c>
      <c r="E553" s="20" t="s">
        <v>70</v>
      </c>
      <c r="F553" s="20" t="s">
        <v>92</v>
      </c>
      <c r="G553" s="20" t="s">
        <v>105</v>
      </c>
      <c r="H553" s="20" t="n">
        <v>1</v>
      </c>
      <c r="I553" s="24" t="n">
        <v>49</v>
      </c>
      <c r="J553" s="24" t="n">
        <v>22</v>
      </c>
      <c r="K553" s="24" t="n">
        <f aca="false">H553*I553</f>
        <v>49</v>
      </c>
      <c r="L553" s="24" t="n">
        <f aca="false">K553-H553*J553</f>
        <v>27</v>
      </c>
      <c r="M553" s="20" t="s">
        <v>50</v>
      </c>
    </row>
    <row r="554" customFormat="false" ht="15" hidden="false" customHeight="false" outlineLevel="0" collapsed="false">
      <c r="A554" s="20" t="s">
        <v>604</v>
      </c>
      <c r="B554" s="23" t="n">
        <v>45904</v>
      </c>
      <c r="C554" s="20" t="n">
        <f aca="false">MONTH(B554)</f>
        <v>9</v>
      </c>
      <c r="D554" s="20" t="s">
        <v>483</v>
      </c>
      <c r="E554" s="20" t="s">
        <v>47</v>
      </c>
      <c r="F554" s="20" t="s">
        <v>92</v>
      </c>
      <c r="G554" s="20" t="s">
        <v>93</v>
      </c>
      <c r="H554" s="20" t="n">
        <v>2</v>
      </c>
      <c r="I554" s="24" t="n">
        <v>15</v>
      </c>
      <c r="J554" s="24" t="n">
        <v>5</v>
      </c>
      <c r="K554" s="24" t="n">
        <f aca="false">H554*I554</f>
        <v>30</v>
      </c>
      <c r="L554" s="24" t="n">
        <f aca="false">K554-H554*J554</f>
        <v>20</v>
      </c>
      <c r="M554" s="20" t="s">
        <v>50</v>
      </c>
    </row>
    <row r="555" customFormat="false" ht="15" hidden="false" customHeight="false" outlineLevel="0" collapsed="false">
      <c r="A555" s="20" t="s">
        <v>465</v>
      </c>
      <c r="B555" s="23" t="n">
        <v>45904</v>
      </c>
      <c r="C555" s="20" t="n">
        <f aca="false">MONTH(B555)</f>
        <v>9</v>
      </c>
      <c r="D555" s="20" t="s">
        <v>86</v>
      </c>
      <c r="E555" s="20" t="s">
        <v>47</v>
      </c>
      <c r="F555" s="20" t="s">
        <v>54</v>
      </c>
      <c r="G555" s="20" t="s">
        <v>76</v>
      </c>
      <c r="H555" s="20" t="n">
        <v>2</v>
      </c>
      <c r="I555" s="24" t="n">
        <v>32</v>
      </c>
      <c r="J555" s="24" t="n">
        <v>13</v>
      </c>
      <c r="K555" s="24" t="n">
        <f aca="false">H555*I555</f>
        <v>64</v>
      </c>
      <c r="L555" s="24" t="n">
        <f aca="false">K555-H555*J555</f>
        <v>38</v>
      </c>
      <c r="M555" s="20" t="s">
        <v>50</v>
      </c>
    </row>
    <row r="556" customFormat="false" ht="15" hidden="false" customHeight="false" outlineLevel="0" collapsed="false">
      <c r="A556" s="20" t="s">
        <v>1201</v>
      </c>
      <c r="B556" s="23" t="n">
        <v>45905</v>
      </c>
      <c r="C556" s="20" t="n">
        <f aca="false">MONTH(B556)</f>
        <v>9</v>
      </c>
      <c r="D556" s="20" t="s">
        <v>108</v>
      </c>
      <c r="E556" s="20" t="s">
        <v>47</v>
      </c>
      <c r="F556" s="20" t="s">
        <v>81</v>
      </c>
      <c r="G556" s="20" t="s">
        <v>61</v>
      </c>
      <c r="H556" s="20" t="n">
        <v>2</v>
      </c>
      <c r="I556" s="24" t="n">
        <v>35</v>
      </c>
      <c r="J556" s="24" t="n">
        <v>12</v>
      </c>
      <c r="K556" s="24" t="n">
        <f aca="false">H556*I556</f>
        <v>70</v>
      </c>
      <c r="L556" s="24" t="n">
        <f aca="false">K556-H556*J556</f>
        <v>46</v>
      </c>
      <c r="M556" s="20" t="s">
        <v>50</v>
      </c>
    </row>
    <row r="557" customFormat="false" ht="15" hidden="false" customHeight="false" outlineLevel="0" collapsed="false">
      <c r="A557" s="20" t="s">
        <v>1570</v>
      </c>
      <c r="B557" s="23" t="n">
        <v>45905</v>
      </c>
      <c r="C557" s="20" t="n">
        <f aca="false">MONTH(B557)</f>
        <v>9</v>
      </c>
      <c r="D557" s="20" t="s">
        <v>210</v>
      </c>
      <c r="E557" s="20" t="s">
        <v>47</v>
      </c>
      <c r="F557" s="20" t="s">
        <v>48</v>
      </c>
      <c r="G557" s="20" t="s">
        <v>49</v>
      </c>
      <c r="H557" s="20" t="n">
        <v>1</v>
      </c>
      <c r="I557" s="24" t="n">
        <v>18</v>
      </c>
      <c r="J557" s="24" t="n">
        <v>5</v>
      </c>
      <c r="K557" s="24" t="n">
        <f aca="false">H557*I557</f>
        <v>18</v>
      </c>
      <c r="L557" s="24" t="n">
        <f aca="false">K557-H557*J557</f>
        <v>13</v>
      </c>
      <c r="M557" s="20" t="s">
        <v>112</v>
      </c>
    </row>
    <row r="558" customFormat="false" ht="15" hidden="false" customHeight="false" outlineLevel="0" collapsed="false">
      <c r="A558" s="20" t="s">
        <v>311</v>
      </c>
      <c r="B558" s="23" t="n">
        <v>45905</v>
      </c>
      <c r="C558" s="20" t="n">
        <f aca="false">MONTH(B558)</f>
        <v>9</v>
      </c>
      <c r="D558" s="20" t="s">
        <v>86</v>
      </c>
      <c r="E558" s="20" t="s">
        <v>59</v>
      </c>
      <c r="F558" s="20" t="s">
        <v>48</v>
      </c>
      <c r="G558" s="20" t="s">
        <v>144</v>
      </c>
      <c r="H558" s="20" t="n">
        <v>1</v>
      </c>
      <c r="I558" s="24" t="n">
        <v>54</v>
      </c>
      <c r="J558" s="24" t="n">
        <v>24</v>
      </c>
      <c r="K558" s="24" t="n">
        <f aca="false">H558*I558</f>
        <v>54</v>
      </c>
      <c r="L558" s="24" t="n">
        <f aca="false">K558-H558*J558</f>
        <v>30</v>
      </c>
      <c r="M558" s="20" t="s">
        <v>50</v>
      </c>
    </row>
    <row r="559" customFormat="false" ht="15" hidden="false" customHeight="false" outlineLevel="0" collapsed="false">
      <c r="A559" s="20" t="s">
        <v>859</v>
      </c>
      <c r="B559" s="23" t="n">
        <v>45906</v>
      </c>
      <c r="C559" s="20" t="n">
        <f aca="false">MONTH(B559)</f>
        <v>9</v>
      </c>
      <c r="D559" s="20" t="s">
        <v>97</v>
      </c>
      <c r="E559" s="20" t="s">
        <v>109</v>
      </c>
      <c r="F559" s="20" t="s">
        <v>110</v>
      </c>
      <c r="G559" s="20" t="s">
        <v>121</v>
      </c>
      <c r="H559" s="20" t="n">
        <v>3</v>
      </c>
      <c r="I559" s="24" t="n">
        <v>21</v>
      </c>
      <c r="J559" s="24" t="n">
        <v>7</v>
      </c>
      <c r="K559" s="24" t="n">
        <f aca="false">H559*I559</f>
        <v>63</v>
      </c>
      <c r="L559" s="24" t="n">
        <f aca="false">K559-H559*J559</f>
        <v>42</v>
      </c>
      <c r="M559" s="20" t="s">
        <v>112</v>
      </c>
    </row>
    <row r="560" customFormat="false" ht="15" hidden="false" customHeight="false" outlineLevel="0" collapsed="false">
      <c r="A560" s="20" t="s">
        <v>759</v>
      </c>
      <c r="B560" s="23" t="n">
        <v>45906</v>
      </c>
      <c r="C560" s="20" t="n">
        <f aca="false">MONTH(B560)</f>
        <v>9</v>
      </c>
      <c r="D560" s="20" t="s">
        <v>64</v>
      </c>
      <c r="E560" s="20" t="s">
        <v>47</v>
      </c>
      <c r="F560" s="20" t="s">
        <v>54</v>
      </c>
      <c r="G560" s="20" t="s">
        <v>72</v>
      </c>
      <c r="H560" s="20" t="n">
        <v>1</v>
      </c>
      <c r="I560" s="24" t="n">
        <v>24</v>
      </c>
      <c r="J560" s="24" t="n">
        <v>9</v>
      </c>
      <c r="K560" s="24" t="n">
        <f aca="false">H560*I560</f>
        <v>24</v>
      </c>
      <c r="L560" s="24" t="n">
        <f aca="false">K560-H560*J560</f>
        <v>15</v>
      </c>
      <c r="M560" s="20" t="s">
        <v>50</v>
      </c>
    </row>
    <row r="561" customFormat="false" ht="15" hidden="false" customHeight="false" outlineLevel="0" collapsed="false">
      <c r="A561" s="20" t="s">
        <v>432</v>
      </c>
      <c r="B561" s="23" t="n">
        <v>45906</v>
      </c>
      <c r="C561" s="20" t="n">
        <f aca="false">MONTH(B561)</f>
        <v>9</v>
      </c>
      <c r="D561" s="20" t="s">
        <v>402</v>
      </c>
      <c r="E561" s="20" t="s">
        <v>70</v>
      </c>
      <c r="F561" s="20" t="s">
        <v>110</v>
      </c>
      <c r="G561" s="20" t="s">
        <v>111</v>
      </c>
      <c r="H561" s="20" t="n">
        <v>1</v>
      </c>
      <c r="I561" s="24" t="n">
        <v>16</v>
      </c>
      <c r="J561" s="24" t="n">
        <v>5</v>
      </c>
      <c r="K561" s="24" t="n">
        <f aca="false">H561*I561</f>
        <v>16</v>
      </c>
      <c r="L561" s="24" t="n">
        <f aca="false">K561-H561*J561</f>
        <v>11</v>
      </c>
      <c r="M561" s="20" t="s">
        <v>50</v>
      </c>
    </row>
    <row r="562" customFormat="false" ht="15" hidden="false" customHeight="false" outlineLevel="0" collapsed="false">
      <c r="A562" s="20" t="s">
        <v>1436</v>
      </c>
      <c r="B562" s="23" t="n">
        <v>45908</v>
      </c>
      <c r="C562" s="20" t="n">
        <f aca="false">MONTH(B562)</f>
        <v>9</v>
      </c>
      <c r="D562" s="20" t="s">
        <v>338</v>
      </c>
      <c r="E562" s="20" t="s">
        <v>47</v>
      </c>
      <c r="F562" s="20" t="s">
        <v>48</v>
      </c>
      <c r="G562" s="20" t="s">
        <v>49</v>
      </c>
      <c r="H562" s="20" t="n">
        <v>3</v>
      </c>
      <c r="I562" s="24" t="n">
        <v>18</v>
      </c>
      <c r="J562" s="24" t="n">
        <v>5</v>
      </c>
      <c r="K562" s="24" t="n">
        <f aca="false">H562*I562</f>
        <v>54</v>
      </c>
      <c r="L562" s="24" t="n">
        <f aca="false">K562-H562*J562</f>
        <v>39</v>
      </c>
      <c r="M562" s="20" t="s">
        <v>50</v>
      </c>
    </row>
    <row r="563" customFormat="false" ht="15" hidden="false" customHeight="false" outlineLevel="0" collapsed="false">
      <c r="A563" s="20" t="s">
        <v>964</v>
      </c>
      <c r="B563" s="23" t="n">
        <v>45908</v>
      </c>
      <c r="C563" s="20" t="n">
        <f aca="false">MONTH(B563)</f>
        <v>9</v>
      </c>
      <c r="D563" s="20" t="s">
        <v>166</v>
      </c>
      <c r="E563" s="20" t="s">
        <v>47</v>
      </c>
      <c r="F563" s="20" t="s">
        <v>92</v>
      </c>
      <c r="G563" s="20" t="s">
        <v>196</v>
      </c>
      <c r="H563" s="20" t="n">
        <v>1</v>
      </c>
      <c r="I563" s="24" t="n">
        <v>89</v>
      </c>
      <c r="J563" s="24" t="n">
        <v>41</v>
      </c>
      <c r="K563" s="24" t="n">
        <f aca="false">H563*I563</f>
        <v>89</v>
      </c>
      <c r="L563" s="24" t="n">
        <f aca="false">K563-H563*J563</f>
        <v>48</v>
      </c>
      <c r="M563" s="20" t="s">
        <v>50</v>
      </c>
    </row>
    <row r="564" customFormat="false" ht="15" hidden="false" customHeight="false" outlineLevel="0" collapsed="false">
      <c r="A564" s="20" t="s">
        <v>797</v>
      </c>
      <c r="B564" s="23" t="n">
        <v>45908</v>
      </c>
      <c r="C564" s="20" t="n">
        <f aca="false">MONTH(B564)</f>
        <v>9</v>
      </c>
      <c r="D564" s="20" t="s">
        <v>519</v>
      </c>
      <c r="E564" s="20" t="s">
        <v>109</v>
      </c>
      <c r="F564" s="20" t="s">
        <v>81</v>
      </c>
      <c r="G564" s="20" t="s">
        <v>61</v>
      </c>
      <c r="H564" s="20" t="n">
        <v>3</v>
      </c>
      <c r="I564" s="24" t="n">
        <v>35</v>
      </c>
      <c r="J564" s="24" t="n">
        <v>12</v>
      </c>
      <c r="K564" s="24" t="n">
        <f aca="false">H564*I564</f>
        <v>105</v>
      </c>
      <c r="L564" s="24" t="n">
        <f aca="false">K564-H564*J564</f>
        <v>69</v>
      </c>
      <c r="M564" s="20" t="s">
        <v>50</v>
      </c>
    </row>
    <row r="565" customFormat="false" ht="15" hidden="false" customHeight="false" outlineLevel="0" collapsed="false">
      <c r="A565" s="20" t="s">
        <v>1269</v>
      </c>
      <c r="B565" s="23" t="n">
        <v>45909</v>
      </c>
      <c r="C565" s="20" t="n">
        <f aca="false">MONTH(B565)</f>
        <v>9</v>
      </c>
      <c r="D565" s="20" t="s">
        <v>483</v>
      </c>
      <c r="E565" s="20" t="s">
        <v>65</v>
      </c>
      <c r="F565" s="20" t="s">
        <v>54</v>
      </c>
      <c r="G565" s="20" t="s">
        <v>72</v>
      </c>
      <c r="H565" s="20" t="n">
        <v>1</v>
      </c>
      <c r="I565" s="24" t="n">
        <v>24</v>
      </c>
      <c r="J565" s="24" t="n">
        <v>9</v>
      </c>
      <c r="K565" s="24" t="n">
        <f aca="false">H565*I565</f>
        <v>24</v>
      </c>
      <c r="L565" s="24" t="n">
        <f aca="false">K565-H565*J565</f>
        <v>15</v>
      </c>
      <c r="M565" s="20" t="s">
        <v>50</v>
      </c>
    </row>
    <row r="566" customFormat="false" ht="15" hidden="false" customHeight="false" outlineLevel="0" collapsed="false">
      <c r="A566" s="20" t="s">
        <v>1519</v>
      </c>
      <c r="B566" s="23" t="n">
        <v>45909</v>
      </c>
      <c r="C566" s="20" t="n">
        <f aca="false">MONTH(B566)</f>
        <v>9</v>
      </c>
      <c r="D566" s="20" t="s">
        <v>457</v>
      </c>
      <c r="E566" s="20" t="s">
        <v>47</v>
      </c>
      <c r="F566" s="20" t="s">
        <v>54</v>
      </c>
      <c r="G566" s="20" t="s">
        <v>72</v>
      </c>
      <c r="H566" s="20" t="n">
        <v>2</v>
      </c>
      <c r="I566" s="24" t="n">
        <v>24</v>
      </c>
      <c r="J566" s="24" t="n">
        <v>9</v>
      </c>
      <c r="K566" s="24" t="n">
        <f aca="false">H566*I566</f>
        <v>48</v>
      </c>
      <c r="L566" s="24" t="n">
        <f aca="false">K566-H566*J566</f>
        <v>30</v>
      </c>
      <c r="M566" s="20" t="s">
        <v>50</v>
      </c>
    </row>
    <row r="567" customFormat="false" ht="15" hidden="false" customHeight="false" outlineLevel="0" collapsed="false">
      <c r="A567" s="20" t="s">
        <v>1253</v>
      </c>
      <c r="B567" s="23" t="n">
        <v>45909</v>
      </c>
      <c r="C567" s="20" t="n">
        <f aca="false">MONTH(B567)</f>
        <v>9</v>
      </c>
      <c r="D567" s="20" t="s">
        <v>143</v>
      </c>
      <c r="E567" s="20" t="s">
        <v>47</v>
      </c>
      <c r="F567" s="20" t="s">
        <v>54</v>
      </c>
      <c r="G567" s="20" t="s">
        <v>72</v>
      </c>
      <c r="H567" s="20" t="n">
        <v>1</v>
      </c>
      <c r="I567" s="24" t="n">
        <v>24</v>
      </c>
      <c r="J567" s="24" t="n">
        <v>9</v>
      </c>
      <c r="K567" s="24" t="n">
        <f aca="false">H567*I567</f>
        <v>24</v>
      </c>
      <c r="L567" s="24" t="n">
        <f aca="false">K567-H567*J567</f>
        <v>15</v>
      </c>
      <c r="M567" s="20" t="s">
        <v>50</v>
      </c>
    </row>
    <row r="568" customFormat="false" ht="15" hidden="false" customHeight="false" outlineLevel="0" collapsed="false">
      <c r="A568" s="20" t="s">
        <v>723</v>
      </c>
      <c r="B568" s="23" t="n">
        <v>45910</v>
      </c>
      <c r="C568" s="20" t="n">
        <f aca="false">MONTH(B568)</f>
        <v>9</v>
      </c>
      <c r="D568" s="20" t="s">
        <v>526</v>
      </c>
      <c r="E568" s="20" t="s">
        <v>47</v>
      </c>
      <c r="F568" s="20" t="s">
        <v>48</v>
      </c>
      <c r="G568" s="20" t="s">
        <v>144</v>
      </c>
      <c r="H568" s="20" t="n">
        <v>1</v>
      </c>
      <c r="I568" s="24" t="n">
        <v>54</v>
      </c>
      <c r="J568" s="24" t="n">
        <v>24</v>
      </c>
      <c r="K568" s="24" t="n">
        <f aca="false">H568*I568</f>
        <v>54</v>
      </c>
      <c r="L568" s="24" t="n">
        <f aca="false">K568-H568*J568</f>
        <v>30</v>
      </c>
      <c r="M568" s="20" t="s">
        <v>50</v>
      </c>
    </row>
    <row r="569" customFormat="false" ht="15" hidden="false" customHeight="false" outlineLevel="0" collapsed="false">
      <c r="A569" s="20" t="s">
        <v>1138</v>
      </c>
      <c r="B569" s="23" t="n">
        <v>45910</v>
      </c>
      <c r="C569" s="20" t="n">
        <f aca="false">MONTH(B569)</f>
        <v>9</v>
      </c>
      <c r="D569" s="20" t="s">
        <v>801</v>
      </c>
      <c r="E569" s="20" t="s">
        <v>59</v>
      </c>
      <c r="F569" s="20" t="s">
        <v>92</v>
      </c>
      <c r="G569" s="20" t="s">
        <v>93</v>
      </c>
      <c r="H569" s="20" t="n">
        <v>2</v>
      </c>
      <c r="I569" s="24" t="n">
        <v>15</v>
      </c>
      <c r="J569" s="24" t="n">
        <v>5</v>
      </c>
      <c r="K569" s="24" t="n">
        <f aca="false">H569*I569</f>
        <v>30</v>
      </c>
      <c r="L569" s="24" t="n">
        <f aca="false">K569-H569*J569</f>
        <v>20</v>
      </c>
      <c r="M569" s="20" t="s">
        <v>50</v>
      </c>
    </row>
    <row r="570" customFormat="false" ht="15" hidden="false" customHeight="false" outlineLevel="0" collapsed="false">
      <c r="A570" s="20" t="s">
        <v>1644</v>
      </c>
      <c r="B570" s="23" t="n">
        <v>45910</v>
      </c>
      <c r="C570" s="20" t="n">
        <f aca="false">MONTH(B570)</f>
        <v>9</v>
      </c>
      <c r="D570" s="20" t="s">
        <v>424</v>
      </c>
      <c r="E570" s="20" t="s">
        <v>47</v>
      </c>
      <c r="F570" s="20" t="s">
        <v>92</v>
      </c>
      <c r="G570" s="20" t="s">
        <v>93</v>
      </c>
      <c r="H570" s="20" t="n">
        <v>1</v>
      </c>
      <c r="I570" s="24" t="n">
        <v>15</v>
      </c>
      <c r="J570" s="24" t="n">
        <v>5</v>
      </c>
      <c r="K570" s="24" t="n">
        <f aca="false">H570*I570</f>
        <v>15</v>
      </c>
      <c r="L570" s="24" t="n">
        <f aca="false">K570-H570*J570</f>
        <v>10</v>
      </c>
      <c r="M570" s="20" t="s">
        <v>50</v>
      </c>
    </row>
    <row r="571" customFormat="false" ht="15" hidden="false" customHeight="false" outlineLevel="0" collapsed="false">
      <c r="A571" s="20" t="s">
        <v>1343</v>
      </c>
      <c r="B571" s="23" t="n">
        <v>45911</v>
      </c>
      <c r="C571" s="20" t="n">
        <f aca="false">MONTH(B571)</f>
        <v>9</v>
      </c>
      <c r="D571" s="20" t="s">
        <v>375</v>
      </c>
      <c r="E571" s="20" t="s">
        <v>109</v>
      </c>
      <c r="F571" s="20" t="s">
        <v>81</v>
      </c>
      <c r="G571" s="20" t="s">
        <v>67</v>
      </c>
      <c r="H571" s="20" t="n">
        <v>1</v>
      </c>
      <c r="I571" s="24" t="n">
        <v>45</v>
      </c>
      <c r="J571" s="24" t="n">
        <v>17</v>
      </c>
      <c r="K571" s="24" t="n">
        <f aca="false">H571*I571</f>
        <v>45</v>
      </c>
      <c r="L571" s="24" t="n">
        <f aca="false">K571-H571*J571</f>
        <v>28</v>
      </c>
      <c r="M571" s="20" t="s">
        <v>50</v>
      </c>
    </row>
    <row r="572" customFormat="false" ht="15" hidden="false" customHeight="false" outlineLevel="0" collapsed="false">
      <c r="A572" s="20" t="s">
        <v>893</v>
      </c>
      <c r="B572" s="23" t="n">
        <v>45911</v>
      </c>
      <c r="C572" s="20" t="n">
        <f aca="false">MONTH(B572)</f>
        <v>9</v>
      </c>
      <c r="D572" s="20" t="s">
        <v>573</v>
      </c>
      <c r="E572" s="20" t="s">
        <v>109</v>
      </c>
      <c r="F572" s="20" t="s">
        <v>48</v>
      </c>
      <c r="G572" s="20" t="s">
        <v>49</v>
      </c>
      <c r="H572" s="20" t="n">
        <v>1</v>
      </c>
      <c r="I572" s="24" t="n">
        <v>18</v>
      </c>
      <c r="J572" s="24" t="n">
        <v>5</v>
      </c>
      <c r="K572" s="24" t="n">
        <f aca="false">H572*I572</f>
        <v>18</v>
      </c>
      <c r="L572" s="24" t="n">
        <f aca="false">K572-H572*J572</f>
        <v>13</v>
      </c>
      <c r="M572" s="20" t="s">
        <v>50</v>
      </c>
    </row>
    <row r="573" customFormat="false" ht="15" hidden="false" customHeight="false" outlineLevel="0" collapsed="false">
      <c r="A573" s="20" t="s">
        <v>660</v>
      </c>
      <c r="B573" s="23" t="n">
        <v>45914</v>
      </c>
      <c r="C573" s="20" t="n">
        <f aca="false">MONTH(B573)</f>
        <v>9</v>
      </c>
      <c r="D573" s="20" t="s">
        <v>86</v>
      </c>
      <c r="E573" s="20" t="s">
        <v>65</v>
      </c>
      <c r="F573" s="20" t="s">
        <v>92</v>
      </c>
      <c r="G573" s="20" t="s">
        <v>105</v>
      </c>
      <c r="H573" s="20" t="n">
        <v>3</v>
      </c>
      <c r="I573" s="24" t="n">
        <v>49</v>
      </c>
      <c r="J573" s="24" t="n">
        <v>22</v>
      </c>
      <c r="K573" s="24" t="n">
        <f aca="false">H573*I573</f>
        <v>147</v>
      </c>
      <c r="L573" s="24" t="n">
        <f aca="false">K573-H573*J573</f>
        <v>81</v>
      </c>
      <c r="M573" s="20" t="s">
        <v>50</v>
      </c>
    </row>
    <row r="574" customFormat="false" ht="15" hidden="false" customHeight="false" outlineLevel="0" collapsed="false">
      <c r="A574" s="20" t="s">
        <v>1301</v>
      </c>
      <c r="B574" s="23" t="n">
        <v>45914</v>
      </c>
      <c r="C574" s="20" t="n">
        <f aca="false">MONTH(B574)</f>
        <v>9</v>
      </c>
      <c r="D574" s="20" t="s">
        <v>323</v>
      </c>
      <c r="E574" s="20" t="s">
        <v>65</v>
      </c>
      <c r="F574" s="20" t="s">
        <v>48</v>
      </c>
      <c r="G574" s="20" t="s">
        <v>116</v>
      </c>
      <c r="H574" s="20" t="n">
        <v>1</v>
      </c>
      <c r="I574" s="24" t="n">
        <v>28</v>
      </c>
      <c r="J574" s="24" t="n">
        <v>9</v>
      </c>
      <c r="K574" s="24" t="n">
        <f aca="false">H574*I574</f>
        <v>28</v>
      </c>
      <c r="L574" s="24" t="n">
        <f aca="false">K574-H574*J574</f>
        <v>19</v>
      </c>
      <c r="M574" s="20" t="s">
        <v>50</v>
      </c>
    </row>
    <row r="575" customFormat="false" ht="15" hidden="false" customHeight="false" outlineLevel="0" collapsed="false">
      <c r="A575" s="20" t="s">
        <v>302</v>
      </c>
      <c r="B575" s="23" t="n">
        <v>45915</v>
      </c>
      <c r="C575" s="20" t="n">
        <f aca="false">MONTH(B575)</f>
        <v>9</v>
      </c>
      <c r="D575" s="20" t="s">
        <v>304</v>
      </c>
      <c r="E575" s="20" t="s">
        <v>70</v>
      </c>
      <c r="F575" s="20" t="s">
        <v>81</v>
      </c>
      <c r="G575" s="20" t="s">
        <v>61</v>
      </c>
      <c r="H575" s="20" t="n">
        <v>2</v>
      </c>
      <c r="I575" s="24" t="n">
        <v>35</v>
      </c>
      <c r="J575" s="24" t="n">
        <v>12</v>
      </c>
      <c r="K575" s="24" t="n">
        <f aca="false">H575*I575</f>
        <v>70</v>
      </c>
      <c r="L575" s="24" t="n">
        <f aca="false">K575-H575*J575</f>
        <v>46</v>
      </c>
      <c r="M575" s="20" t="s">
        <v>50</v>
      </c>
    </row>
    <row r="576" customFormat="false" ht="15" hidden="false" customHeight="false" outlineLevel="0" collapsed="false">
      <c r="A576" s="20" t="s">
        <v>155</v>
      </c>
      <c r="B576" s="23" t="n">
        <v>45915</v>
      </c>
      <c r="C576" s="20" t="n">
        <f aca="false">MONTH(B576)</f>
        <v>9</v>
      </c>
      <c r="D576" s="20" t="s">
        <v>156</v>
      </c>
      <c r="E576" s="20" t="s">
        <v>47</v>
      </c>
      <c r="F576" s="20" t="s">
        <v>110</v>
      </c>
      <c r="G576" s="20" t="s">
        <v>111</v>
      </c>
      <c r="H576" s="20" t="n">
        <v>2</v>
      </c>
      <c r="I576" s="24" t="n">
        <v>16</v>
      </c>
      <c r="J576" s="24" t="n">
        <v>5</v>
      </c>
      <c r="K576" s="24" t="n">
        <f aca="false">H576*I576</f>
        <v>32</v>
      </c>
      <c r="L576" s="24" t="n">
        <f aca="false">K576-H576*J576</f>
        <v>22</v>
      </c>
      <c r="M576" s="20" t="s">
        <v>50</v>
      </c>
    </row>
    <row r="577" customFormat="false" ht="15" hidden="false" customHeight="false" outlineLevel="0" collapsed="false">
      <c r="A577" s="20" t="s">
        <v>1287</v>
      </c>
      <c r="B577" s="23" t="n">
        <v>45915</v>
      </c>
      <c r="C577" s="20" t="n">
        <f aca="false">MONTH(B577)</f>
        <v>9</v>
      </c>
      <c r="D577" s="20" t="s">
        <v>1221</v>
      </c>
      <c r="E577" s="20" t="s">
        <v>47</v>
      </c>
      <c r="F577" s="20" t="s">
        <v>81</v>
      </c>
      <c r="G577" s="20" t="s">
        <v>67</v>
      </c>
      <c r="H577" s="20" t="n">
        <v>1</v>
      </c>
      <c r="I577" s="24" t="n">
        <v>45</v>
      </c>
      <c r="J577" s="24" t="n">
        <v>17</v>
      </c>
      <c r="K577" s="24" t="n">
        <f aca="false">H577*I577</f>
        <v>45</v>
      </c>
      <c r="L577" s="24" t="n">
        <f aca="false">K577-H577*J577</f>
        <v>28</v>
      </c>
      <c r="M577" s="20" t="s">
        <v>50</v>
      </c>
    </row>
    <row r="578" customFormat="false" ht="15" hidden="false" customHeight="false" outlineLevel="0" collapsed="false">
      <c r="A578" s="20" t="s">
        <v>879</v>
      </c>
      <c r="B578" s="23" t="n">
        <v>45916</v>
      </c>
      <c r="C578" s="20" t="n">
        <f aca="false">MONTH(B578)</f>
        <v>9</v>
      </c>
      <c r="D578" s="20" t="s">
        <v>332</v>
      </c>
      <c r="E578" s="20" t="s">
        <v>65</v>
      </c>
      <c r="F578" s="20" t="s">
        <v>81</v>
      </c>
      <c r="G578" s="20" t="s">
        <v>82</v>
      </c>
      <c r="H578" s="20" t="n">
        <v>2</v>
      </c>
      <c r="I578" s="24" t="n">
        <v>22</v>
      </c>
      <c r="J578" s="24" t="n">
        <v>8</v>
      </c>
      <c r="K578" s="24" t="n">
        <f aca="false">H578*I578</f>
        <v>44</v>
      </c>
      <c r="L578" s="24" t="n">
        <f aca="false">K578-H578*J578</f>
        <v>28</v>
      </c>
      <c r="M578" s="20" t="s">
        <v>50</v>
      </c>
    </row>
    <row r="579" customFormat="false" ht="15" hidden="false" customHeight="false" outlineLevel="0" collapsed="false">
      <c r="A579" s="20" t="s">
        <v>1441</v>
      </c>
      <c r="B579" s="23" t="n">
        <v>45916</v>
      </c>
      <c r="C579" s="20" t="n">
        <f aca="false">MONTH(B579)</f>
        <v>9</v>
      </c>
      <c r="D579" s="20" t="s">
        <v>344</v>
      </c>
      <c r="E579" s="20" t="s">
        <v>109</v>
      </c>
      <c r="F579" s="20" t="s">
        <v>54</v>
      </c>
      <c r="G579" s="20" t="s">
        <v>72</v>
      </c>
      <c r="H579" s="20" t="n">
        <v>1</v>
      </c>
      <c r="I579" s="24" t="n">
        <v>24</v>
      </c>
      <c r="J579" s="24" t="n">
        <v>9</v>
      </c>
      <c r="K579" s="24" t="n">
        <f aca="false">H579*I579</f>
        <v>24</v>
      </c>
      <c r="L579" s="24" t="n">
        <f aca="false">K579-H579*J579</f>
        <v>15</v>
      </c>
      <c r="M579" s="20" t="s">
        <v>50</v>
      </c>
    </row>
    <row r="580" customFormat="false" ht="15" hidden="false" customHeight="false" outlineLevel="0" collapsed="false">
      <c r="A580" s="20" t="s">
        <v>561</v>
      </c>
      <c r="B580" s="23" t="n">
        <v>45916</v>
      </c>
      <c r="C580" s="20" t="n">
        <f aca="false">MONTH(B580)</f>
        <v>9</v>
      </c>
      <c r="D580" s="20" t="s">
        <v>129</v>
      </c>
      <c r="E580" s="20" t="s">
        <v>47</v>
      </c>
      <c r="F580" s="20" t="s">
        <v>48</v>
      </c>
      <c r="G580" s="20" t="s">
        <v>49</v>
      </c>
      <c r="H580" s="20" t="n">
        <v>2</v>
      </c>
      <c r="I580" s="24" t="n">
        <v>18</v>
      </c>
      <c r="J580" s="24" t="n">
        <v>5</v>
      </c>
      <c r="K580" s="24" t="n">
        <f aca="false">H580*I580</f>
        <v>36</v>
      </c>
      <c r="L580" s="24" t="n">
        <f aca="false">K580-H580*J580</f>
        <v>26</v>
      </c>
      <c r="M580" s="20" t="s">
        <v>50</v>
      </c>
    </row>
    <row r="581" customFormat="false" ht="15" hidden="false" customHeight="false" outlineLevel="0" collapsed="false">
      <c r="A581" s="20" t="s">
        <v>771</v>
      </c>
      <c r="B581" s="23" t="n">
        <v>45916</v>
      </c>
      <c r="C581" s="20" t="n">
        <f aca="false">MONTH(B581)</f>
        <v>9</v>
      </c>
      <c r="D581" s="20" t="s">
        <v>306</v>
      </c>
      <c r="E581" s="20" t="s">
        <v>65</v>
      </c>
      <c r="F581" s="20" t="s">
        <v>110</v>
      </c>
      <c r="G581" s="20" t="s">
        <v>111</v>
      </c>
      <c r="H581" s="20" t="n">
        <v>1</v>
      </c>
      <c r="I581" s="24" t="n">
        <v>16</v>
      </c>
      <c r="J581" s="24" t="n">
        <v>5</v>
      </c>
      <c r="K581" s="24" t="n">
        <f aca="false">H581*I581</f>
        <v>16</v>
      </c>
      <c r="L581" s="24" t="n">
        <f aca="false">K581-H581*J581</f>
        <v>11</v>
      </c>
      <c r="M581" s="20" t="s">
        <v>50</v>
      </c>
    </row>
    <row r="582" customFormat="false" ht="15" hidden="false" customHeight="false" outlineLevel="0" collapsed="false">
      <c r="A582" s="20" t="s">
        <v>1133</v>
      </c>
      <c r="B582" s="23" t="n">
        <v>45916</v>
      </c>
      <c r="C582" s="20" t="n">
        <f aca="false">MONTH(B582)</f>
        <v>9</v>
      </c>
      <c r="D582" s="20" t="s">
        <v>58</v>
      </c>
      <c r="E582" s="20" t="s">
        <v>47</v>
      </c>
      <c r="F582" s="20" t="s">
        <v>48</v>
      </c>
      <c r="G582" s="20" t="s">
        <v>144</v>
      </c>
      <c r="H582" s="20" t="n">
        <v>1</v>
      </c>
      <c r="I582" s="24" t="n">
        <v>54</v>
      </c>
      <c r="J582" s="24" t="n">
        <v>24</v>
      </c>
      <c r="K582" s="24" t="n">
        <f aca="false">H582*I582</f>
        <v>54</v>
      </c>
      <c r="L582" s="24" t="n">
        <f aca="false">K582-H582*J582</f>
        <v>30</v>
      </c>
      <c r="M582" s="20" t="s">
        <v>50</v>
      </c>
    </row>
    <row r="583" customFormat="false" ht="15" hidden="false" customHeight="false" outlineLevel="0" collapsed="false">
      <c r="A583" s="20" t="s">
        <v>540</v>
      </c>
      <c r="B583" s="23" t="n">
        <v>45916</v>
      </c>
      <c r="C583" s="20" t="n">
        <f aca="false">MONTH(B583)</f>
        <v>9</v>
      </c>
      <c r="D583" s="20" t="s">
        <v>348</v>
      </c>
      <c r="E583" s="20" t="s">
        <v>70</v>
      </c>
      <c r="F583" s="20" t="s">
        <v>48</v>
      </c>
      <c r="G583" s="20" t="s">
        <v>144</v>
      </c>
      <c r="H583" s="20" t="n">
        <v>1</v>
      </c>
      <c r="I583" s="24" t="n">
        <v>54</v>
      </c>
      <c r="J583" s="24" t="n">
        <v>24</v>
      </c>
      <c r="K583" s="24" t="n">
        <f aca="false">H583*I583</f>
        <v>54</v>
      </c>
      <c r="L583" s="24" t="n">
        <f aca="false">K583-H583*J583</f>
        <v>30</v>
      </c>
      <c r="M583" s="20" t="s">
        <v>50</v>
      </c>
    </row>
    <row r="584" customFormat="false" ht="15" hidden="false" customHeight="false" outlineLevel="0" collapsed="false">
      <c r="A584" s="20" t="s">
        <v>388</v>
      </c>
      <c r="B584" s="23" t="n">
        <v>45917</v>
      </c>
      <c r="C584" s="20" t="n">
        <f aca="false">MONTH(B584)</f>
        <v>9</v>
      </c>
      <c r="D584" s="20" t="s">
        <v>233</v>
      </c>
      <c r="E584" s="20" t="s">
        <v>47</v>
      </c>
      <c r="F584" s="20" t="s">
        <v>110</v>
      </c>
      <c r="G584" s="20" t="s">
        <v>111</v>
      </c>
      <c r="H584" s="20" t="n">
        <v>1</v>
      </c>
      <c r="I584" s="24" t="n">
        <v>16</v>
      </c>
      <c r="J584" s="24" t="n">
        <v>5</v>
      </c>
      <c r="K584" s="24" t="n">
        <f aca="false">H584*I584</f>
        <v>16</v>
      </c>
      <c r="L584" s="24" t="n">
        <f aca="false">K584-H584*J584</f>
        <v>11</v>
      </c>
      <c r="M584" s="20" t="s">
        <v>50</v>
      </c>
    </row>
    <row r="585" customFormat="false" ht="15" hidden="false" customHeight="false" outlineLevel="0" collapsed="false">
      <c r="A585" s="20" t="s">
        <v>1677</v>
      </c>
      <c r="B585" s="23" t="n">
        <v>45918</v>
      </c>
      <c r="C585" s="20" t="n">
        <f aca="false">MONTH(B585)</f>
        <v>9</v>
      </c>
      <c r="D585" s="20" t="s">
        <v>483</v>
      </c>
      <c r="E585" s="20" t="s">
        <v>70</v>
      </c>
      <c r="F585" s="20" t="s">
        <v>48</v>
      </c>
      <c r="G585" s="20" t="s">
        <v>49</v>
      </c>
      <c r="H585" s="20" t="n">
        <v>3</v>
      </c>
      <c r="I585" s="24" t="n">
        <v>18</v>
      </c>
      <c r="J585" s="24" t="n">
        <v>5</v>
      </c>
      <c r="K585" s="24" t="n">
        <f aca="false">H585*I585</f>
        <v>54</v>
      </c>
      <c r="L585" s="24" t="n">
        <f aca="false">K585-H585*J585</f>
        <v>39</v>
      </c>
      <c r="M585" s="20" t="s">
        <v>50</v>
      </c>
    </row>
    <row r="586" customFormat="false" ht="15" hidden="false" customHeight="false" outlineLevel="0" collapsed="false">
      <c r="A586" s="20" t="s">
        <v>1275</v>
      </c>
      <c r="B586" s="23" t="n">
        <v>45918</v>
      </c>
      <c r="C586" s="20" t="n">
        <f aca="false">MONTH(B586)</f>
        <v>9</v>
      </c>
      <c r="D586" s="20" t="s">
        <v>719</v>
      </c>
      <c r="E586" s="20" t="s">
        <v>70</v>
      </c>
      <c r="F586" s="20" t="s">
        <v>81</v>
      </c>
      <c r="G586" s="20" t="s">
        <v>82</v>
      </c>
      <c r="H586" s="20" t="n">
        <v>2</v>
      </c>
      <c r="I586" s="24" t="n">
        <v>22</v>
      </c>
      <c r="J586" s="24" t="n">
        <v>8</v>
      </c>
      <c r="K586" s="24" t="n">
        <f aca="false">H586*I586</f>
        <v>44</v>
      </c>
      <c r="L586" s="24" t="n">
        <f aca="false">K586-H586*J586</f>
        <v>28</v>
      </c>
      <c r="M586" s="20" t="s">
        <v>50</v>
      </c>
    </row>
    <row r="587" customFormat="false" ht="15" hidden="false" customHeight="false" outlineLevel="0" collapsed="false">
      <c r="A587" s="20" t="s">
        <v>712</v>
      </c>
      <c r="B587" s="23" t="n">
        <v>45919</v>
      </c>
      <c r="C587" s="20" t="n">
        <f aca="false">MONTH(B587)</f>
        <v>9</v>
      </c>
      <c r="D587" s="20" t="s">
        <v>348</v>
      </c>
      <c r="E587" s="20" t="s">
        <v>70</v>
      </c>
      <c r="F587" s="20" t="s">
        <v>92</v>
      </c>
      <c r="G587" s="20" t="s">
        <v>196</v>
      </c>
      <c r="H587" s="20" t="n">
        <v>1</v>
      </c>
      <c r="I587" s="24" t="n">
        <v>89</v>
      </c>
      <c r="J587" s="24" t="n">
        <v>41</v>
      </c>
      <c r="K587" s="24" t="n">
        <f aca="false">H587*I587</f>
        <v>89</v>
      </c>
      <c r="L587" s="24" t="n">
        <f aca="false">K587-H587*J587</f>
        <v>48</v>
      </c>
      <c r="M587" s="20" t="s">
        <v>50</v>
      </c>
    </row>
    <row r="588" customFormat="false" ht="15" hidden="false" customHeight="false" outlineLevel="0" collapsed="false">
      <c r="A588" s="20" t="s">
        <v>668</v>
      </c>
      <c r="B588" s="23" t="n">
        <v>45921</v>
      </c>
      <c r="C588" s="20" t="n">
        <f aca="false">MONTH(B588)</f>
        <v>9</v>
      </c>
      <c r="D588" s="20" t="s">
        <v>100</v>
      </c>
      <c r="E588" s="20" t="s">
        <v>47</v>
      </c>
      <c r="F588" s="20" t="s">
        <v>54</v>
      </c>
      <c r="G588" s="20" t="s">
        <v>72</v>
      </c>
      <c r="H588" s="20" t="n">
        <v>1</v>
      </c>
      <c r="I588" s="24" t="n">
        <v>24</v>
      </c>
      <c r="J588" s="24" t="n">
        <v>9</v>
      </c>
      <c r="K588" s="24" t="n">
        <f aca="false">H588*I588</f>
        <v>24</v>
      </c>
      <c r="L588" s="24" t="n">
        <f aca="false">K588-H588*J588</f>
        <v>15</v>
      </c>
      <c r="M588" s="20" t="s">
        <v>50</v>
      </c>
    </row>
    <row r="589" customFormat="false" ht="15" hidden="false" customHeight="false" outlineLevel="0" collapsed="false">
      <c r="A589" s="20" t="s">
        <v>862</v>
      </c>
      <c r="B589" s="23" t="n">
        <v>45921</v>
      </c>
      <c r="C589" s="20" t="n">
        <f aca="false">MONTH(B589)</f>
        <v>9</v>
      </c>
      <c r="D589" s="20" t="s">
        <v>447</v>
      </c>
      <c r="E589" s="20" t="s">
        <v>59</v>
      </c>
      <c r="F589" s="20" t="s">
        <v>110</v>
      </c>
      <c r="G589" s="20" t="s">
        <v>236</v>
      </c>
      <c r="H589" s="20" t="n">
        <v>1</v>
      </c>
      <c r="I589" s="24" t="n">
        <v>30</v>
      </c>
      <c r="J589" s="24" t="n">
        <v>11</v>
      </c>
      <c r="K589" s="24" t="n">
        <f aca="false">H589*I589</f>
        <v>30</v>
      </c>
      <c r="L589" s="24" t="n">
        <f aca="false">K589-H589*J589</f>
        <v>19</v>
      </c>
      <c r="M589" s="20" t="s">
        <v>50</v>
      </c>
    </row>
    <row r="590" customFormat="false" ht="15" hidden="false" customHeight="false" outlineLevel="0" collapsed="false">
      <c r="A590" s="20" t="s">
        <v>1489</v>
      </c>
      <c r="B590" s="23" t="n">
        <v>45921</v>
      </c>
      <c r="C590" s="20" t="n">
        <f aca="false">MONTH(B590)</f>
        <v>9</v>
      </c>
      <c r="D590" s="20" t="s">
        <v>278</v>
      </c>
      <c r="E590" s="20" t="s">
        <v>47</v>
      </c>
      <c r="F590" s="20" t="s">
        <v>54</v>
      </c>
      <c r="G590" s="20" t="s">
        <v>55</v>
      </c>
      <c r="H590" s="20" t="n">
        <v>1</v>
      </c>
      <c r="I590" s="24" t="n">
        <v>38</v>
      </c>
      <c r="J590" s="24" t="n">
        <v>16</v>
      </c>
      <c r="K590" s="24" t="n">
        <f aca="false">H590*I590</f>
        <v>38</v>
      </c>
      <c r="L590" s="24" t="n">
        <f aca="false">K590-H590*J590</f>
        <v>22</v>
      </c>
      <c r="M590" s="20" t="s">
        <v>50</v>
      </c>
    </row>
    <row r="591" customFormat="false" ht="15" hidden="false" customHeight="false" outlineLevel="0" collapsed="false">
      <c r="A591" s="20" t="s">
        <v>217</v>
      </c>
      <c r="B591" s="23" t="n">
        <v>45921</v>
      </c>
      <c r="C591" s="20" t="n">
        <f aca="false">MONTH(B591)</f>
        <v>9</v>
      </c>
      <c r="D591" s="20" t="s">
        <v>219</v>
      </c>
      <c r="E591" s="20" t="s">
        <v>59</v>
      </c>
      <c r="F591" s="20" t="s">
        <v>92</v>
      </c>
      <c r="G591" s="20" t="s">
        <v>196</v>
      </c>
      <c r="H591" s="20" t="n">
        <v>3</v>
      </c>
      <c r="I591" s="24" t="n">
        <v>89</v>
      </c>
      <c r="J591" s="24" t="n">
        <v>41</v>
      </c>
      <c r="K591" s="24" t="n">
        <f aca="false">H591*I591</f>
        <v>267</v>
      </c>
      <c r="L591" s="24" t="n">
        <f aca="false">K591-H591*J591</f>
        <v>144</v>
      </c>
      <c r="M591" s="20" t="s">
        <v>50</v>
      </c>
    </row>
    <row r="592" customFormat="false" ht="15" hidden="false" customHeight="false" outlineLevel="0" collapsed="false">
      <c r="A592" s="20" t="s">
        <v>1506</v>
      </c>
      <c r="B592" s="23" t="n">
        <v>45922</v>
      </c>
      <c r="C592" s="20" t="n">
        <f aca="false">MONTH(B592)</f>
        <v>9</v>
      </c>
      <c r="D592" s="20" t="s">
        <v>250</v>
      </c>
      <c r="E592" s="20" t="s">
        <v>109</v>
      </c>
      <c r="F592" s="20" t="s">
        <v>54</v>
      </c>
      <c r="G592" s="20" t="s">
        <v>76</v>
      </c>
      <c r="H592" s="20" t="n">
        <v>1</v>
      </c>
      <c r="I592" s="24" t="n">
        <v>32</v>
      </c>
      <c r="J592" s="24" t="n">
        <v>13</v>
      </c>
      <c r="K592" s="24" t="n">
        <f aca="false">H592*I592</f>
        <v>32</v>
      </c>
      <c r="L592" s="24" t="n">
        <f aca="false">K592-H592*J592</f>
        <v>19</v>
      </c>
      <c r="M592" s="20" t="s">
        <v>50</v>
      </c>
    </row>
    <row r="593" customFormat="false" ht="15" hidden="false" customHeight="false" outlineLevel="0" collapsed="false">
      <c r="A593" s="20" t="s">
        <v>784</v>
      </c>
      <c r="B593" s="23" t="n">
        <v>45922</v>
      </c>
      <c r="C593" s="20" t="n">
        <f aca="false">MONTH(B593)</f>
        <v>9</v>
      </c>
      <c r="D593" s="20" t="s">
        <v>192</v>
      </c>
      <c r="E593" s="20" t="s">
        <v>47</v>
      </c>
      <c r="F593" s="20" t="s">
        <v>81</v>
      </c>
      <c r="G593" s="20" t="s">
        <v>67</v>
      </c>
      <c r="H593" s="20" t="n">
        <v>1</v>
      </c>
      <c r="I593" s="24" t="n">
        <v>45</v>
      </c>
      <c r="J593" s="24" t="n">
        <v>17</v>
      </c>
      <c r="K593" s="24" t="n">
        <f aca="false">H593*I593</f>
        <v>45</v>
      </c>
      <c r="L593" s="24" t="n">
        <f aca="false">K593-H593*J593</f>
        <v>28</v>
      </c>
      <c r="M593" s="20" t="s">
        <v>50</v>
      </c>
    </row>
    <row r="594" customFormat="false" ht="15" hidden="false" customHeight="false" outlineLevel="0" collapsed="false">
      <c r="A594" s="20" t="s">
        <v>1184</v>
      </c>
      <c r="B594" s="23" t="n">
        <v>45923</v>
      </c>
      <c r="C594" s="20" t="n">
        <f aca="false">MONTH(B594)</f>
        <v>9</v>
      </c>
      <c r="D594" s="20" t="s">
        <v>578</v>
      </c>
      <c r="E594" s="20" t="s">
        <v>109</v>
      </c>
      <c r="F594" s="20" t="s">
        <v>110</v>
      </c>
      <c r="G594" s="20" t="s">
        <v>236</v>
      </c>
      <c r="H594" s="20" t="n">
        <v>1</v>
      </c>
      <c r="I594" s="24" t="n">
        <v>30</v>
      </c>
      <c r="J594" s="24" t="n">
        <v>11</v>
      </c>
      <c r="K594" s="24" t="n">
        <f aca="false">H594*I594</f>
        <v>30</v>
      </c>
      <c r="L594" s="24" t="n">
        <f aca="false">K594-H594*J594</f>
        <v>19</v>
      </c>
      <c r="M594" s="20" t="s">
        <v>50</v>
      </c>
    </row>
    <row r="595" customFormat="false" ht="15" hidden="false" customHeight="false" outlineLevel="0" collapsed="false">
      <c r="A595" s="20" t="s">
        <v>635</v>
      </c>
      <c r="B595" s="23" t="n">
        <v>45923</v>
      </c>
      <c r="C595" s="20" t="n">
        <f aca="false">MONTH(B595)</f>
        <v>9</v>
      </c>
      <c r="D595" s="20" t="s">
        <v>380</v>
      </c>
      <c r="E595" s="20" t="s">
        <v>47</v>
      </c>
      <c r="F595" s="20" t="s">
        <v>92</v>
      </c>
      <c r="G595" s="20" t="s">
        <v>105</v>
      </c>
      <c r="H595" s="20" t="n">
        <v>1</v>
      </c>
      <c r="I595" s="24" t="n">
        <v>49</v>
      </c>
      <c r="J595" s="24" t="n">
        <v>22</v>
      </c>
      <c r="K595" s="24" t="n">
        <f aca="false">H595*I595</f>
        <v>49</v>
      </c>
      <c r="L595" s="24" t="n">
        <f aca="false">K595-H595*J595</f>
        <v>27</v>
      </c>
      <c r="M595" s="20" t="s">
        <v>50</v>
      </c>
    </row>
    <row r="596" customFormat="false" ht="15" hidden="false" customHeight="false" outlineLevel="0" collapsed="false">
      <c r="A596" s="20" t="s">
        <v>184</v>
      </c>
      <c r="B596" s="23" t="n">
        <v>45923</v>
      </c>
      <c r="C596" s="20" t="n">
        <f aca="false">MONTH(B596)</f>
        <v>9</v>
      </c>
      <c r="D596" s="20" t="s">
        <v>186</v>
      </c>
      <c r="E596" s="20" t="s">
        <v>109</v>
      </c>
      <c r="F596" s="20" t="s">
        <v>81</v>
      </c>
      <c r="G596" s="20" t="s">
        <v>67</v>
      </c>
      <c r="H596" s="20" t="n">
        <v>1</v>
      </c>
      <c r="I596" s="24" t="n">
        <v>45</v>
      </c>
      <c r="J596" s="24" t="n">
        <v>17</v>
      </c>
      <c r="K596" s="24" t="n">
        <f aca="false">H596*I596</f>
        <v>45</v>
      </c>
      <c r="L596" s="24" t="n">
        <f aca="false">K596-H596*J596</f>
        <v>28</v>
      </c>
      <c r="M596" s="20" t="s">
        <v>50</v>
      </c>
    </row>
    <row r="597" customFormat="false" ht="15" hidden="false" customHeight="false" outlineLevel="0" collapsed="false">
      <c r="A597" s="20" t="s">
        <v>1263</v>
      </c>
      <c r="B597" s="23" t="n">
        <v>45924</v>
      </c>
      <c r="C597" s="20" t="n">
        <f aca="false">MONTH(B597)</f>
        <v>9</v>
      </c>
      <c r="D597" s="20" t="s">
        <v>258</v>
      </c>
      <c r="E597" s="20" t="s">
        <v>65</v>
      </c>
      <c r="F597" s="20" t="s">
        <v>110</v>
      </c>
      <c r="G597" s="20" t="s">
        <v>236</v>
      </c>
      <c r="H597" s="20" t="n">
        <v>1</v>
      </c>
      <c r="I597" s="24" t="n">
        <v>30</v>
      </c>
      <c r="J597" s="24" t="n">
        <v>11</v>
      </c>
      <c r="K597" s="24" t="n">
        <f aca="false">H597*I597</f>
        <v>30</v>
      </c>
      <c r="L597" s="24" t="n">
        <f aca="false">K597-H597*J597</f>
        <v>19</v>
      </c>
      <c r="M597" s="20" t="s">
        <v>50</v>
      </c>
    </row>
    <row r="598" customFormat="false" ht="15" hidden="false" customHeight="false" outlineLevel="0" collapsed="false">
      <c r="A598" s="20" t="s">
        <v>783</v>
      </c>
      <c r="B598" s="23" t="n">
        <v>45924</v>
      </c>
      <c r="C598" s="20" t="n">
        <f aca="false">MONTH(B598)</f>
        <v>9</v>
      </c>
      <c r="D598" s="20" t="s">
        <v>380</v>
      </c>
      <c r="E598" s="20" t="s">
        <v>70</v>
      </c>
      <c r="F598" s="20" t="s">
        <v>48</v>
      </c>
      <c r="G598" s="20" t="s">
        <v>116</v>
      </c>
      <c r="H598" s="20" t="n">
        <v>2</v>
      </c>
      <c r="I598" s="24" t="n">
        <v>28</v>
      </c>
      <c r="J598" s="24" t="n">
        <v>9</v>
      </c>
      <c r="K598" s="24" t="n">
        <f aca="false">H598*I598</f>
        <v>56</v>
      </c>
      <c r="L598" s="24" t="n">
        <f aca="false">K598-H598*J598</f>
        <v>38</v>
      </c>
      <c r="M598" s="20" t="s">
        <v>50</v>
      </c>
    </row>
    <row r="599" customFormat="false" ht="15" hidden="false" customHeight="false" outlineLevel="0" collapsed="false">
      <c r="A599" s="20" t="s">
        <v>1122</v>
      </c>
      <c r="B599" s="23" t="n">
        <v>45924</v>
      </c>
      <c r="C599" s="20" t="n">
        <f aca="false">MONTH(B599)</f>
        <v>9</v>
      </c>
      <c r="D599" s="20" t="s">
        <v>286</v>
      </c>
      <c r="E599" s="20" t="s">
        <v>59</v>
      </c>
      <c r="F599" s="20" t="s">
        <v>54</v>
      </c>
      <c r="G599" s="20" t="s">
        <v>72</v>
      </c>
      <c r="H599" s="20" t="n">
        <v>1</v>
      </c>
      <c r="I599" s="24" t="n">
        <v>24</v>
      </c>
      <c r="J599" s="24" t="n">
        <v>9</v>
      </c>
      <c r="K599" s="24" t="n">
        <f aca="false">H599*I599</f>
        <v>24</v>
      </c>
      <c r="L599" s="24" t="n">
        <f aca="false">K599-H599*J599</f>
        <v>15</v>
      </c>
      <c r="M599" s="20" t="s">
        <v>50</v>
      </c>
    </row>
    <row r="600" customFormat="false" ht="15" hidden="false" customHeight="false" outlineLevel="0" collapsed="false">
      <c r="A600" s="20" t="s">
        <v>1379</v>
      </c>
      <c r="B600" s="23" t="n">
        <v>45924</v>
      </c>
      <c r="C600" s="20" t="n">
        <f aca="false">MONTH(B600)</f>
        <v>9</v>
      </c>
      <c r="D600" s="20" t="s">
        <v>189</v>
      </c>
      <c r="E600" s="20" t="s">
        <v>70</v>
      </c>
      <c r="F600" s="20" t="s">
        <v>54</v>
      </c>
      <c r="G600" s="20" t="s">
        <v>72</v>
      </c>
      <c r="H600" s="20" t="n">
        <v>1</v>
      </c>
      <c r="I600" s="24" t="n">
        <v>24</v>
      </c>
      <c r="J600" s="24" t="n">
        <v>9</v>
      </c>
      <c r="K600" s="24" t="n">
        <f aca="false">H600*I600</f>
        <v>24</v>
      </c>
      <c r="L600" s="24" t="n">
        <f aca="false">K600-H600*J600</f>
        <v>15</v>
      </c>
      <c r="M600" s="20" t="s">
        <v>50</v>
      </c>
    </row>
    <row r="601" customFormat="false" ht="15" hidden="false" customHeight="false" outlineLevel="0" collapsed="false">
      <c r="A601" s="20" t="s">
        <v>746</v>
      </c>
      <c r="B601" s="23" t="n">
        <v>45925</v>
      </c>
      <c r="C601" s="20" t="n">
        <f aca="false">MONTH(B601)</f>
        <v>9</v>
      </c>
      <c r="D601" s="20" t="s">
        <v>100</v>
      </c>
      <c r="E601" s="20" t="s">
        <v>47</v>
      </c>
      <c r="F601" s="20" t="s">
        <v>81</v>
      </c>
      <c r="G601" s="20" t="s">
        <v>67</v>
      </c>
      <c r="H601" s="20" t="n">
        <v>1</v>
      </c>
      <c r="I601" s="24" t="n">
        <v>45</v>
      </c>
      <c r="J601" s="24" t="n">
        <v>17</v>
      </c>
      <c r="K601" s="24" t="n">
        <f aca="false">H601*I601</f>
        <v>45</v>
      </c>
      <c r="L601" s="24" t="n">
        <f aca="false">K601-H601*J601</f>
        <v>28</v>
      </c>
      <c r="M601" s="20" t="s">
        <v>50</v>
      </c>
    </row>
    <row r="602" customFormat="false" ht="15" hidden="false" customHeight="false" outlineLevel="0" collapsed="false">
      <c r="A602" s="20" t="s">
        <v>559</v>
      </c>
      <c r="B602" s="23" t="n">
        <v>45925</v>
      </c>
      <c r="C602" s="20" t="n">
        <f aca="false">MONTH(B602)</f>
        <v>9</v>
      </c>
      <c r="D602" s="20" t="s">
        <v>104</v>
      </c>
      <c r="E602" s="20" t="s">
        <v>70</v>
      </c>
      <c r="F602" s="20" t="s">
        <v>48</v>
      </c>
      <c r="G602" s="20" t="s">
        <v>116</v>
      </c>
      <c r="H602" s="20" t="n">
        <v>4</v>
      </c>
      <c r="I602" s="24" t="n">
        <v>28</v>
      </c>
      <c r="J602" s="24" t="n">
        <v>9</v>
      </c>
      <c r="K602" s="24" t="n">
        <f aca="false">H602*I602</f>
        <v>112</v>
      </c>
      <c r="L602" s="24" t="n">
        <f aca="false">K602-H602*J602</f>
        <v>76</v>
      </c>
      <c r="M602" s="20" t="s">
        <v>50</v>
      </c>
    </row>
    <row r="603" customFormat="false" ht="15" hidden="false" customHeight="false" outlineLevel="0" collapsed="false">
      <c r="A603" s="20" t="s">
        <v>1688</v>
      </c>
      <c r="B603" s="23" t="n">
        <v>45925</v>
      </c>
      <c r="C603" s="20" t="n">
        <f aca="false">MONTH(B603)</f>
        <v>9</v>
      </c>
      <c r="D603" s="20" t="s">
        <v>531</v>
      </c>
      <c r="E603" s="20" t="s">
        <v>109</v>
      </c>
      <c r="F603" s="20" t="s">
        <v>110</v>
      </c>
      <c r="G603" s="20" t="s">
        <v>236</v>
      </c>
      <c r="H603" s="20" t="n">
        <v>1</v>
      </c>
      <c r="I603" s="24" t="n">
        <v>30</v>
      </c>
      <c r="J603" s="24" t="n">
        <v>11</v>
      </c>
      <c r="K603" s="24" t="n">
        <f aca="false">H603*I603</f>
        <v>30</v>
      </c>
      <c r="L603" s="24" t="n">
        <f aca="false">K603-H603*J603</f>
        <v>19</v>
      </c>
      <c r="M603" s="20" t="s">
        <v>50</v>
      </c>
    </row>
    <row r="604" customFormat="false" ht="15" hidden="false" customHeight="false" outlineLevel="0" collapsed="false">
      <c r="A604" s="20" t="s">
        <v>106</v>
      </c>
      <c r="B604" s="23" t="n">
        <v>45925</v>
      </c>
      <c r="C604" s="20" t="n">
        <f aca="false">MONTH(B604)</f>
        <v>9</v>
      </c>
      <c r="D604" s="20" t="s">
        <v>108</v>
      </c>
      <c r="E604" s="20" t="s">
        <v>109</v>
      </c>
      <c r="F604" s="20" t="s">
        <v>110</v>
      </c>
      <c r="G604" s="20" t="s">
        <v>111</v>
      </c>
      <c r="H604" s="20" t="n">
        <v>1</v>
      </c>
      <c r="I604" s="24" t="n">
        <v>16</v>
      </c>
      <c r="J604" s="24" t="n">
        <v>5</v>
      </c>
      <c r="K604" s="24" t="n">
        <f aca="false">H604*I604</f>
        <v>16</v>
      </c>
      <c r="L604" s="24" t="n">
        <f aca="false">K604-H604*J604</f>
        <v>11</v>
      </c>
      <c r="M604" s="20" t="s">
        <v>112</v>
      </c>
    </row>
    <row r="605" customFormat="false" ht="15" hidden="false" customHeight="false" outlineLevel="0" collapsed="false">
      <c r="A605" s="20" t="s">
        <v>1398</v>
      </c>
      <c r="B605" s="23" t="n">
        <v>45925</v>
      </c>
      <c r="C605" s="20" t="n">
        <f aca="false">MONTH(B605)</f>
        <v>9</v>
      </c>
      <c r="D605" s="20" t="s">
        <v>1221</v>
      </c>
      <c r="E605" s="20" t="s">
        <v>65</v>
      </c>
      <c r="F605" s="20" t="s">
        <v>54</v>
      </c>
      <c r="G605" s="20" t="s">
        <v>55</v>
      </c>
      <c r="H605" s="20" t="n">
        <v>2</v>
      </c>
      <c r="I605" s="24" t="n">
        <v>38</v>
      </c>
      <c r="J605" s="24" t="n">
        <v>16</v>
      </c>
      <c r="K605" s="24" t="n">
        <f aca="false">H605*I605</f>
        <v>76</v>
      </c>
      <c r="L605" s="24" t="n">
        <f aca="false">K605-H605*J605</f>
        <v>44</v>
      </c>
      <c r="M605" s="20" t="s">
        <v>50</v>
      </c>
    </row>
    <row r="606" customFormat="false" ht="15" hidden="false" customHeight="false" outlineLevel="0" collapsed="false">
      <c r="A606" s="20" t="s">
        <v>510</v>
      </c>
      <c r="B606" s="23" t="n">
        <v>45926</v>
      </c>
      <c r="C606" s="20" t="n">
        <f aca="false">MONTH(B606)</f>
        <v>9</v>
      </c>
      <c r="D606" s="20" t="s">
        <v>108</v>
      </c>
      <c r="E606" s="20" t="s">
        <v>65</v>
      </c>
      <c r="F606" s="20" t="s">
        <v>92</v>
      </c>
      <c r="G606" s="20" t="s">
        <v>93</v>
      </c>
      <c r="H606" s="20" t="n">
        <v>2</v>
      </c>
      <c r="I606" s="24" t="n">
        <v>15</v>
      </c>
      <c r="J606" s="24" t="n">
        <v>5</v>
      </c>
      <c r="K606" s="24" t="n">
        <f aca="false">H606*I606</f>
        <v>30</v>
      </c>
      <c r="L606" s="24" t="n">
        <f aca="false">K606-H606*J606</f>
        <v>20</v>
      </c>
      <c r="M606" s="20" t="s">
        <v>50</v>
      </c>
    </row>
    <row r="607" customFormat="false" ht="15" hidden="false" customHeight="false" outlineLevel="0" collapsed="false">
      <c r="A607" s="20" t="s">
        <v>696</v>
      </c>
      <c r="B607" s="23" t="n">
        <v>45926</v>
      </c>
      <c r="C607" s="20" t="n">
        <f aca="false">MONTH(B607)</f>
        <v>9</v>
      </c>
      <c r="D607" s="20" t="s">
        <v>153</v>
      </c>
      <c r="E607" s="20" t="s">
        <v>47</v>
      </c>
      <c r="F607" s="20" t="s">
        <v>92</v>
      </c>
      <c r="G607" s="20" t="s">
        <v>105</v>
      </c>
      <c r="H607" s="20" t="n">
        <v>2</v>
      </c>
      <c r="I607" s="24" t="n">
        <v>49</v>
      </c>
      <c r="J607" s="24" t="n">
        <v>22</v>
      </c>
      <c r="K607" s="24" t="n">
        <f aca="false">H607*I607</f>
        <v>98</v>
      </c>
      <c r="L607" s="24" t="n">
        <f aca="false">K607-H607*J607</f>
        <v>54</v>
      </c>
      <c r="M607" s="20" t="s">
        <v>50</v>
      </c>
    </row>
    <row r="608" customFormat="false" ht="15" hidden="false" customHeight="false" outlineLevel="0" collapsed="false">
      <c r="A608" s="20" t="s">
        <v>772</v>
      </c>
      <c r="B608" s="23" t="n">
        <v>45926</v>
      </c>
      <c r="C608" s="20" t="n">
        <f aca="false">MONTH(B608)</f>
        <v>9</v>
      </c>
      <c r="D608" s="20" t="s">
        <v>248</v>
      </c>
      <c r="E608" s="20" t="s">
        <v>59</v>
      </c>
      <c r="F608" s="20" t="s">
        <v>92</v>
      </c>
      <c r="G608" s="20" t="s">
        <v>196</v>
      </c>
      <c r="H608" s="20" t="n">
        <v>1</v>
      </c>
      <c r="I608" s="24" t="n">
        <v>89</v>
      </c>
      <c r="J608" s="24" t="n">
        <v>41</v>
      </c>
      <c r="K608" s="24" t="n">
        <f aca="false">H608*I608</f>
        <v>89</v>
      </c>
      <c r="L608" s="24" t="n">
        <f aca="false">K608-H608*J608</f>
        <v>48</v>
      </c>
      <c r="M608" s="20" t="s">
        <v>50</v>
      </c>
    </row>
    <row r="609" customFormat="false" ht="15" hidden="false" customHeight="false" outlineLevel="0" collapsed="false">
      <c r="A609" s="20" t="s">
        <v>1031</v>
      </c>
      <c r="B609" s="23" t="n">
        <v>45926</v>
      </c>
      <c r="C609" s="20" t="n">
        <f aca="false">MONTH(B609)</f>
        <v>9</v>
      </c>
      <c r="D609" s="20" t="s">
        <v>64</v>
      </c>
      <c r="E609" s="20" t="s">
        <v>47</v>
      </c>
      <c r="F609" s="20" t="s">
        <v>81</v>
      </c>
      <c r="G609" s="20" t="s">
        <v>61</v>
      </c>
      <c r="H609" s="20" t="n">
        <v>1</v>
      </c>
      <c r="I609" s="24" t="n">
        <v>35</v>
      </c>
      <c r="J609" s="24" t="n">
        <v>12</v>
      </c>
      <c r="K609" s="24" t="n">
        <f aca="false">H609*I609</f>
        <v>35</v>
      </c>
      <c r="L609" s="24" t="n">
        <f aca="false">K609-H609*J609</f>
        <v>23</v>
      </c>
      <c r="M609" s="20" t="s">
        <v>50</v>
      </c>
    </row>
    <row r="610" customFormat="false" ht="15" hidden="false" customHeight="false" outlineLevel="0" collapsed="false">
      <c r="A610" s="20" t="s">
        <v>1631</v>
      </c>
      <c r="B610" s="23" t="n">
        <v>45926</v>
      </c>
      <c r="C610" s="20" t="n">
        <f aca="false">MONTH(B610)</f>
        <v>9</v>
      </c>
      <c r="D610" s="20" t="s">
        <v>570</v>
      </c>
      <c r="E610" s="20" t="s">
        <v>59</v>
      </c>
      <c r="F610" s="20" t="s">
        <v>48</v>
      </c>
      <c r="G610" s="20" t="s">
        <v>49</v>
      </c>
      <c r="H610" s="20" t="n">
        <v>1</v>
      </c>
      <c r="I610" s="24" t="n">
        <v>18</v>
      </c>
      <c r="J610" s="24" t="n">
        <v>5</v>
      </c>
      <c r="K610" s="24" t="n">
        <f aca="false">H610*I610</f>
        <v>18</v>
      </c>
      <c r="L610" s="24" t="n">
        <f aca="false">K610-H610*J610</f>
        <v>13</v>
      </c>
      <c r="M610" s="20" t="s">
        <v>50</v>
      </c>
    </row>
    <row r="611" customFormat="false" ht="15" hidden="false" customHeight="false" outlineLevel="0" collapsed="false">
      <c r="A611" s="20" t="s">
        <v>1563</v>
      </c>
      <c r="B611" s="23" t="n">
        <v>45927</v>
      </c>
      <c r="C611" s="20" t="n">
        <f aca="false">MONTH(B611)</f>
        <v>9</v>
      </c>
      <c r="D611" s="20" t="s">
        <v>519</v>
      </c>
      <c r="E611" s="20" t="s">
        <v>70</v>
      </c>
      <c r="F611" s="20" t="s">
        <v>81</v>
      </c>
      <c r="G611" s="20" t="s">
        <v>82</v>
      </c>
      <c r="H611" s="20" t="n">
        <v>3</v>
      </c>
      <c r="I611" s="24" t="n">
        <v>22</v>
      </c>
      <c r="J611" s="24" t="n">
        <v>8</v>
      </c>
      <c r="K611" s="24" t="n">
        <f aca="false">H611*I611</f>
        <v>66</v>
      </c>
      <c r="L611" s="24" t="n">
        <f aca="false">K611-H611*J611</f>
        <v>42</v>
      </c>
      <c r="M611" s="20" t="s">
        <v>50</v>
      </c>
    </row>
    <row r="612" customFormat="false" ht="15" hidden="false" customHeight="false" outlineLevel="0" collapsed="false">
      <c r="A612" s="20" t="s">
        <v>1124</v>
      </c>
      <c r="B612" s="23" t="n">
        <v>45927</v>
      </c>
      <c r="C612" s="20" t="n">
        <f aca="false">MONTH(B612)</f>
        <v>9</v>
      </c>
      <c r="D612" s="20" t="s">
        <v>286</v>
      </c>
      <c r="E612" s="20" t="s">
        <v>65</v>
      </c>
      <c r="F612" s="20" t="s">
        <v>81</v>
      </c>
      <c r="G612" s="20" t="s">
        <v>61</v>
      </c>
      <c r="H612" s="20" t="n">
        <v>2</v>
      </c>
      <c r="I612" s="24" t="n">
        <v>35</v>
      </c>
      <c r="J612" s="24" t="n">
        <v>12</v>
      </c>
      <c r="K612" s="24" t="n">
        <f aca="false">H612*I612</f>
        <v>70</v>
      </c>
      <c r="L612" s="24" t="n">
        <f aca="false">K612-H612*J612</f>
        <v>46</v>
      </c>
      <c r="M612" s="20" t="s">
        <v>50</v>
      </c>
    </row>
    <row r="613" customFormat="false" ht="15" hidden="false" customHeight="false" outlineLevel="0" collapsed="false">
      <c r="A613" s="20" t="s">
        <v>536</v>
      </c>
      <c r="B613" s="23" t="n">
        <v>45927</v>
      </c>
      <c r="C613" s="20" t="n">
        <f aca="false">MONTH(B613)</f>
        <v>9</v>
      </c>
      <c r="D613" s="20" t="s">
        <v>415</v>
      </c>
      <c r="E613" s="20" t="s">
        <v>47</v>
      </c>
      <c r="F613" s="20" t="s">
        <v>110</v>
      </c>
      <c r="G613" s="20" t="s">
        <v>111</v>
      </c>
      <c r="H613" s="20" t="n">
        <v>2</v>
      </c>
      <c r="I613" s="24" t="n">
        <v>16</v>
      </c>
      <c r="J613" s="24" t="n">
        <v>5</v>
      </c>
      <c r="K613" s="24" t="n">
        <f aca="false">H613*I613</f>
        <v>32</v>
      </c>
      <c r="L613" s="24" t="n">
        <f aca="false">K613-H613*J613</f>
        <v>22</v>
      </c>
      <c r="M613" s="20" t="s">
        <v>50</v>
      </c>
    </row>
    <row r="614" customFormat="false" ht="15" hidden="false" customHeight="false" outlineLevel="0" collapsed="false">
      <c r="A614" s="20" t="s">
        <v>808</v>
      </c>
      <c r="B614" s="23" t="n">
        <v>45927</v>
      </c>
      <c r="C614" s="20" t="n">
        <f aca="false">MONTH(B614)</f>
        <v>9</v>
      </c>
      <c r="D614" s="20" t="s">
        <v>306</v>
      </c>
      <c r="E614" s="20" t="s">
        <v>70</v>
      </c>
      <c r="F614" s="20" t="s">
        <v>110</v>
      </c>
      <c r="G614" s="20" t="s">
        <v>236</v>
      </c>
      <c r="H614" s="20" t="n">
        <v>1</v>
      </c>
      <c r="I614" s="24" t="n">
        <v>30</v>
      </c>
      <c r="J614" s="24" t="n">
        <v>11</v>
      </c>
      <c r="K614" s="24" t="n">
        <f aca="false">H614*I614</f>
        <v>30</v>
      </c>
      <c r="L614" s="24" t="n">
        <f aca="false">K614-H614*J614</f>
        <v>19</v>
      </c>
      <c r="M614" s="20" t="s">
        <v>112</v>
      </c>
    </row>
    <row r="615" customFormat="false" ht="15" hidden="false" customHeight="false" outlineLevel="0" collapsed="false">
      <c r="A615" s="20" t="s">
        <v>669</v>
      </c>
      <c r="B615" s="23" t="n">
        <v>45927</v>
      </c>
      <c r="C615" s="20" t="n">
        <f aca="false">MONTH(B615)</f>
        <v>9</v>
      </c>
      <c r="D615" s="20" t="s">
        <v>519</v>
      </c>
      <c r="E615" s="20" t="s">
        <v>59</v>
      </c>
      <c r="F615" s="20" t="s">
        <v>54</v>
      </c>
      <c r="G615" s="20" t="s">
        <v>76</v>
      </c>
      <c r="H615" s="20" t="n">
        <v>2</v>
      </c>
      <c r="I615" s="24" t="n">
        <v>32</v>
      </c>
      <c r="J615" s="24" t="n">
        <v>13</v>
      </c>
      <c r="K615" s="24" t="n">
        <f aca="false">H615*I615</f>
        <v>64</v>
      </c>
      <c r="L615" s="24" t="n">
        <f aca="false">K615-H615*J615</f>
        <v>38</v>
      </c>
      <c r="M615" s="20" t="s">
        <v>50</v>
      </c>
    </row>
    <row r="616" customFormat="false" ht="15" hidden="false" customHeight="false" outlineLevel="0" collapsed="false">
      <c r="A616" s="20" t="s">
        <v>984</v>
      </c>
      <c r="B616" s="23" t="n">
        <v>45928</v>
      </c>
      <c r="C616" s="20" t="n">
        <f aca="false">MONTH(B616)</f>
        <v>9</v>
      </c>
      <c r="D616" s="20" t="s">
        <v>392</v>
      </c>
      <c r="E616" s="20" t="s">
        <v>47</v>
      </c>
      <c r="F616" s="20" t="s">
        <v>81</v>
      </c>
      <c r="G616" s="20" t="s">
        <v>82</v>
      </c>
      <c r="H616" s="20" t="n">
        <v>1</v>
      </c>
      <c r="I616" s="24" t="n">
        <v>22</v>
      </c>
      <c r="J616" s="24" t="n">
        <v>8</v>
      </c>
      <c r="K616" s="24" t="n">
        <f aca="false">H616*I616</f>
        <v>22</v>
      </c>
      <c r="L616" s="24" t="n">
        <f aca="false">K616-H616*J616</f>
        <v>14</v>
      </c>
      <c r="M616" s="20" t="s">
        <v>50</v>
      </c>
    </row>
    <row r="617" customFormat="false" ht="15" hidden="false" customHeight="false" outlineLevel="0" collapsed="false">
      <c r="A617" s="20" t="s">
        <v>454</v>
      </c>
      <c r="B617" s="23" t="n">
        <v>45928</v>
      </c>
      <c r="C617" s="20" t="n">
        <f aca="false">MONTH(B617)</f>
        <v>9</v>
      </c>
      <c r="D617" s="20" t="s">
        <v>291</v>
      </c>
      <c r="E617" s="20" t="s">
        <v>47</v>
      </c>
      <c r="F617" s="20" t="s">
        <v>92</v>
      </c>
      <c r="G617" s="20" t="s">
        <v>196</v>
      </c>
      <c r="H617" s="20" t="n">
        <v>1</v>
      </c>
      <c r="I617" s="24" t="n">
        <v>89</v>
      </c>
      <c r="J617" s="24" t="n">
        <v>41</v>
      </c>
      <c r="K617" s="24" t="n">
        <f aca="false">H617*I617</f>
        <v>89</v>
      </c>
      <c r="L617" s="24" t="n">
        <f aca="false">K617-H617*J617</f>
        <v>48</v>
      </c>
      <c r="M617" s="20" t="s">
        <v>50</v>
      </c>
    </row>
    <row r="618" customFormat="false" ht="15" hidden="false" customHeight="false" outlineLevel="0" collapsed="false">
      <c r="A618" s="20" t="s">
        <v>351</v>
      </c>
      <c r="B618" s="23" t="n">
        <v>45931</v>
      </c>
      <c r="C618" s="20" t="n">
        <f aca="false">MONTH(B618)</f>
        <v>10</v>
      </c>
      <c r="D618" s="20" t="s">
        <v>174</v>
      </c>
      <c r="E618" s="20" t="s">
        <v>47</v>
      </c>
      <c r="F618" s="20" t="s">
        <v>48</v>
      </c>
      <c r="G618" s="20" t="s">
        <v>144</v>
      </c>
      <c r="H618" s="20" t="n">
        <v>3</v>
      </c>
      <c r="I618" s="24" t="n">
        <v>54</v>
      </c>
      <c r="J618" s="24" t="n">
        <v>24</v>
      </c>
      <c r="K618" s="24" t="n">
        <f aca="false">H618*I618</f>
        <v>162</v>
      </c>
      <c r="L618" s="24" t="n">
        <f aca="false">K618-H618*J618</f>
        <v>90</v>
      </c>
      <c r="M618" s="20" t="s">
        <v>50</v>
      </c>
    </row>
    <row r="619" customFormat="false" ht="15" hidden="false" customHeight="false" outlineLevel="0" collapsed="false">
      <c r="A619" s="20" t="s">
        <v>1637</v>
      </c>
      <c r="B619" s="23" t="n">
        <v>45931</v>
      </c>
      <c r="C619" s="20" t="n">
        <f aca="false">MONTH(B619)</f>
        <v>10</v>
      </c>
      <c r="D619" s="20" t="s">
        <v>323</v>
      </c>
      <c r="E619" s="20" t="s">
        <v>109</v>
      </c>
      <c r="F619" s="20" t="s">
        <v>110</v>
      </c>
      <c r="G619" s="20" t="s">
        <v>121</v>
      </c>
      <c r="H619" s="20" t="n">
        <v>2</v>
      </c>
      <c r="I619" s="24" t="n">
        <v>21</v>
      </c>
      <c r="J619" s="24" t="n">
        <v>7</v>
      </c>
      <c r="K619" s="24" t="n">
        <f aca="false">H619*I619</f>
        <v>42</v>
      </c>
      <c r="L619" s="24" t="n">
        <f aca="false">K619-H619*J619</f>
        <v>28</v>
      </c>
      <c r="M619" s="20" t="s">
        <v>50</v>
      </c>
    </row>
    <row r="620" customFormat="false" ht="15" hidden="false" customHeight="false" outlineLevel="0" collapsed="false">
      <c r="A620" s="20" t="s">
        <v>160</v>
      </c>
      <c r="B620" s="23" t="n">
        <v>45931</v>
      </c>
      <c r="C620" s="20" t="n">
        <f aca="false">MONTH(B620)</f>
        <v>10</v>
      </c>
      <c r="D620" s="20" t="s">
        <v>161</v>
      </c>
      <c r="E620" s="20" t="s">
        <v>47</v>
      </c>
      <c r="F620" s="20" t="s">
        <v>48</v>
      </c>
      <c r="G620" s="20" t="s">
        <v>116</v>
      </c>
      <c r="H620" s="20" t="n">
        <v>1</v>
      </c>
      <c r="I620" s="24" t="n">
        <v>28</v>
      </c>
      <c r="J620" s="24" t="n">
        <v>9</v>
      </c>
      <c r="K620" s="24" t="n">
        <f aca="false">H620*I620</f>
        <v>28</v>
      </c>
      <c r="L620" s="24" t="n">
        <f aca="false">K620-H620*J620</f>
        <v>19</v>
      </c>
      <c r="M620" s="20" t="s">
        <v>50</v>
      </c>
    </row>
    <row r="621" customFormat="false" ht="15" hidden="false" customHeight="false" outlineLevel="0" collapsed="false">
      <c r="A621" s="20" t="s">
        <v>1052</v>
      </c>
      <c r="B621" s="23" t="n">
        <v>45932</v>
      </c>
      <c r="C621" s="20" t="n">
        <f aca="false">MONTH(B621)</f>
        <v>10</v>
      </c>
      <c r="D621" s="20" t="s">
        <v>97</v>
      </c>
      <c r="E621" s="20" t="s">
        <v>47</v>
      </c>
      <c r="F621" s="20" t="s">
        <v>92</v>
      </c>
      <c r="G621" s="20" t="s">
        <v>196</v>
      </c>
      <c r="H621" s="20" t="n">
        <v>2</v>
      </c>
      <c r="I621" s="24" t="n">
        <v>89</v>
      </c>
      <c r="J621" s="24" t="n">
        <v>41</v>
      </c>
      <c r="K621" s="24" t="n">
        <f aca="false">H621*I621</f>
        <v>178</v>
      </c>
      <c r="L621" s="24" t="n">
        <f aca="false">K621-H621*J621</f>
        <v>96</v>
      </c>
      <c r="M621" s="20" t="s">
        <v>50</v>
      </c>
    </row>
    <row r="622" customFormat="false" ht="15" hidden="false" customHeight="false" outlineLevel="0" collapsed="false">
      <c r="A622" s="20" t="s">
        <v>1101</v>
      </c>
      <c r="B622" s="23" t="n">
        <v>45932</v>
      </c>
      <c r="C622" s="20" t="n">
        <f aca="false">MONTH(B622)</f>
        <v>10</v>
      </c>
      <c r="D622" s="20" t="s">
        <v>444</v>
      </c>
      <c r="E622" s="20" t="s">
        <v>47</v>
      </c>
      <c r="F622" s="20" t="s">
        <v>81</v>
      </c>
      <c r="G622" s="20" t="s">
        <v>82</v>
      </c>
      <c r="H622" s="20" t="n">
        <v>1</v>
      </c>
      <c r="I622" s="24" t="n">
        <v>22</v>
      </c>
      <c r="J622" s="24" t="n">
        <v>8</v>
      </c>
      <c r="K622" s="24" t="n">
        <f aca="false">H622*I622</f>
        <v>22</v>
      </c>
      <c r="L622" s="24" t="n">
        <f aca="false">K622-H622*J622</f>
        <v>14</v>
      </c>
      <c r="M622" s="20" t="s">
        <v>50</v>
      </c>
    </row>
    <row r="623" customFormat="false" ht="15" hidden="false" customHeight="false" outlineLevel="0" collapsed="false">
      <c r="A623" s="20" t="s">
        <v>920</v>
      </c>
      <c r="B623" s="23" t="n">
        <v>45933</v>
      </c>
      <c r="C623" s="20" t="n">
        <f aca="false">MONTH(B623)</f>
        <v>10</v>
      </c>
      <c r="D623" s="20" t="s">
        <v>428</v>
      </c>
      <c r="E623" s="20" t="s">
        <v>47</v>
      </c>
      <c r="F623" s="20" t="s">
        <v>92</v>
      </c>
      <c r="G623" s="20" t="s">
        <v>196</v>
      </c>
      <c r="H623" s="20" t="n">
        <v>2</v>
      </c>
      <c r="I623" s="24" t="n">
        <v>89</v>
      </c>
      <c r="J623" s="24" t="n">
        <v>41</v>
      </c>
      <c r="K623" s="24" t="n">
        <f aca="false">H623*I623</f>
        <v>178</v>
      </c>
      <c r="L623" s="24" t="n">
        <f aca="false">K623-H623*J623</f>
        <v>96</v>
      </c>
      <c r="M623" s="20" t="s">
        <v>50</v>
      </c>
    </row>
    <row r="624" customFormat="false" ht="15" hidden="false" customHeight="false" outlineLevel="0" collapsed="false">
      <c r="A624" s="20" t="s">
        <v>854</v>
      </c>
      <c r="B624" s="23" t="n">
        <v>45934</v>
      </c>
      <c r="C624" s="20" t="n">
        <f aca="false">MONTH(B624)</f>
        <v>10</v>
      </c>
      <c r="D624" s="20" t="s">
        <v>97</v>
      </c>
      <c r="E624" s="20" t="s">
        <v>47</v>
      </c>
      <c r="F624" s="20" t="s">
        <v>54</v>
      </c>
      <c r="G624" s="20" t="s">
        <v>72</v>
      </c>
      <c r="H624" s="20" t="n">
        <v>2</v>
      </c>
      <c r="I624" s="24" t="n">
        <v>24</v>
      </c>
      <c r="J624" s="24" t="n">
        <v>9</v>
      </c>
      <c r="K624" s="24" t="n">
        <f aca="false">H624*I624</f>
        <v>48</v>
      </c>
      <c r="L624" s="24" t="n">
        <f aca="false">K624-H624*J624</f>
        <v>30</v>
      </c>
      <c r="M624" s="20" t="s">
        <v>50</v>
      </c>
    </row>
    <row r="625" customFormat="false" ht="15" hidden="false" customHeight="false" outlineLevel="0" collapsed="false">
      <c r="A625" s="20" t="s">
        <v>1204</v>
      </c>
      <c r="B625" s="23" t="n">
        <v>45934</v>
      </c>
      <c r="C625" s="20" t="n">
        <f aca="false">MONTH(B625)</f>
        <v>10</v>
      </c>
      <c r="D625" s="20" t="s">
        <v>161</v>
      </c>
      <c r="E625" s="20" t="s">
        <v>47</v>
      </c>
      <c r="F625" s="20" t="s">
        <v>81</v>
      </c>
      <c r="G625" s="20" t="s">
        <v>61</v>
      </c>
      <c r="H625" s="20" t="n">
        <v>1</v>
      </c>
      <c r="I625" s="24" t="n">
        <v>35</v>
      </c>
      <c r="J625" s="24" t="n">
        <v>12</v>
      </c>
      <c r="K625" s="24" t="n">
        <f aca="false">H625*I625</f>
        <v>35</v>
      </c>
      <c r="L625" s="24" t="n">
        <f aca="false">K625-H625*J625</f>
        <v>23</v>
      </c>
      <c r="M625" s="20" t="s">
        <v>50</v>
      </c>
    </row>
    <row r="626" customFormat="false" ht="15" hidden="false" customHeight="false" outlineLevel="0" collapsed="false">
      <c r="A626" s="20" t="s">
        <v>1496</v>
      </c>
      <c r="B626" s="23" t="n">
        <v>45934</v>
      </c>
      <c r="C626" s="20" t="n">
        <f aca="false">MONTH(B626)</f>
        <v>10</v>
      </c>
      <c r="D626" s="20" t="s">
        <v>447</v>
      </c>
      <c r="E626" s="20" t="s">
        <v>65</v>
      </c>
      <c r="F626" s="20" t="s">
        <v>81</v>
      </c>
      <c r="G626" s="20" t="s">
        <v>61</v>
      </c>
      <c r="H626" s="20" t="n">
        <v>1</v>
      </c>
      <c r="I626" s="24" t="n">
        <v>35</v>
      </c>
      <c r="J626" s="24" t="n">
        <v>12</v>
      </c>
      <c r="K626" s="24" t="n">
        <f aca="false">H626*I626</f>
        <v>35</v>
      </c>
      <c r="L626" s="24" t="n">
        <f aca="false">K626-H626*J626</f>
        <v>23</v>
      </c>
      <c r="M626" s="20" t="s">
        <v>50</v>
      </c>
    </row>
    <row r="627" customFormat="false" ht="15" hidden="false" customHeight="false" outlineLevel="0" collapsed="false">
      <c r="A627" s="20" t="s">
        <v>89</v>
      </c>
      <c r="B627" s="23" t="n">
        <v>45934</v>
      </c>
      <c r="C627" s="20" t="n">
        <f aca="false">MONTH(B627)</f>
        <v>10</v>
      </c>
      <c r="D627" s="20" t="s">
        <v>91</v>
      </c>
      <c r="E627" s="20" t="s">
        <v>47</v>
      </c>
      <c r="F627" s="20" t="s">
        <v>92</v>
      </c>
      <c r="G627" s="20" t="s">
        <v>93</v>
      </c>
      <c r="H627" s="20" t="n">
        <v>1</v>
      </c>
      <c r="I627" s="24" t="n">
        <v>15</v>
      </c>
      <c r="J627" s="24" t="n">
        <v>5</v>
      </c>
      <c r="K627" s="24" t="n">
        <f aca="false">H627*I627</f>
        <v>15</v>
      </c>
      <c r="L627" s="24" t="n">
        <f aca="false">K627-H627*J627</f>
        <v>10</v>
      </c>
      <c r="M627" s="20" t="s">
        <v>50</v>
      </c>
    </row>
    <row r="628" customFormat="false" ht="15" hidden="false" customHeight="false" outlineLevel="0" collapsed="false">
      <c r="A628" s="20" t="s">
        <v>1668</v>
      </c>
      <c r="B628" s="23" t="n">
        <v>45934</v>
      </c>
      <c r="C628" s="20" t="n">
        <f aca="false">MONTH(B628)</f>
        <v>10</v>
      </c>
      <c r="D628" s="20" t="s">
        <v>380</v>
      </c>
      <c r="E628" s="20" t="s">
        <v>47</v>
      </c>
      <c r="F628" s="20" t="s">
        <v>92</v>
      </c>
      <c r="G628" s="20" t="s">
        <v>93</v>
      </c>
      <c r="H628" s="20" t="n">
        <v>4</v>
      </c>
      <c r="I628" s="24" t="n">
        <v>15</v>
      </c>
      <c r="J628" s="24" t="n">
        <v>5</v>
      </c>
      <c r="K628" s="24" t="n">
        <f aca="false">H628*I628</f>
        <v>60</v>
      </c>
      <c r="L628" s="24" t="n">
        <f aca="false">K628-H628*J628</f>
        <v>40</v>
      </c>
      <c r="M628" s="20" t="s">
        <v>50</v>
      </c>
    </row>
    <row r="629" customFormat="false" ht="15" hidden="false" customHeight="false" outlineLevel="0" collapsed="false">
      <c r="A629" s="20" t="s">
        <v>1671</v>
      </c>
      <c r="B629" s="23" t="n">
        <v>45935</v>
      </c>
      <c r="C629" s="20" t="n">
        <f aca="false">MONTH(B629)</f>
        <v>10</v>
      </c>
      <c r="D629" s="20" t="s">
        <v>634</v>
      </c>
      <c r="E629" s="20" t="s">
        <v>47</v>
      </c>
      <c r="F629" s="20" t="s">
        <v>54</v>
      </c>
      <c r="G629" s="20" t="s">
        <v>55</v>
      </c>
      <c r="H629" s="20" t="n">
        <v>2</v>
      </c>
      <c r="I629" s="24" t="n">
        <v>38</v>
      </c>
      <c r="J629" s="24" t="n">
        <v>16</v>
      </c>
      <c r="K629" s="24" t="n">
        <f aca="false">H629*I629</f>
        <v>76</v>
      </c>
      <c r="L629" s="24" t="n">
        <f aca="false">K629-H629*J629</f>
        <v>44</v>
      </c>
      <c r="M629" s="20" t="s">
        <v>50</v>
      </c>
    </row>
    <row r="630" customFormat="false" ht="15" hidden="false" customHeight="false" outlineLevel="0" collapsed="false">
      <c r="A630" s="20" t="s">
        <v>542</v>
      </c>
      <c r="B630" s="23" t="n">
        <v>45935</v>
      </c>
      <c r="C630" s="20" t="n">
        <f aca="false">MONTH(B630)</f>
        <v>10</v>
      </c>
      <c r="D630" s="20" t="s">
        <v>424</v>
      </c>
      <c r="E630" s="20" t="s">
        <v>47</v>
      </c>
      <c r="F630" s="20" t="s">
        <v>48</v>
      </c>
      <c r="G630" s="20" t="s">
        <v>144</v>
      </c>
      <c r="H630" s="20" t="n">
        <v>4</v>
      </c>
      <c r="I630" s="24" t="n">
        <v>54</v>
      </c>
      <c r="J630" s="24" t="n">
        <v>24</v>
      </c>
      <c r="K630" s="24" t="n">
        <f aca="false">H630*I630</f>
        <v>216</v>
      </c>
      <c r="L630" s="24" t="n">
        <f aca="false">K630-H630*J630</f>
        <v>120</v>
      </c>
      <c r="M630" s="20" t="s">
        <v>50</v>
      </c>
    </row>
    <row r="631" customFormat="false" ht="15" hidden="false" customHeight="false" outlineLevel="0" collapsed="false">
      <c r="A631" s="20" t="s">
        <v>1377</v>
      </c>
      <c r="B631" s="23" t="n">
        <v>45935</v>
      </c>
      <c r="C631" s="20" t="n">
        <f aca="false">MONTH(B631)</f>
        <v>10</v>
      </c>
      <c r="D631" s="20" t="s">
        <v>1378</v>
      </c>
      <c r="E631" s="20" t="s">
        <v>47</v>
      </c>
      <c r="F631" s="20" t="s">
        <v>81</v>
      </c>
      <c r="G631" s="20" t="s">
        <v>82</v>
      </c>
      <c r="H631" s="20" t="n">
        <v>1</v>
      </c>
      <c r="I631" s="24" t="n">
        <v>22</v>
      </c>
      <c r="J631" s="24" t="n">
        <v>8</v>
      </c>
      <c r="K631" s="24" t="n">
        <f aca="false">H631*I631</f>
        <v>22</v>
      </c>
      <c r="L631" s="24" t="n">
        <f aca="false">K631-H631*J631</f>
        <v>14</v>
      </c>
      <c r="M631" s="20" t="s">
        <v>50</v>
      </c>
    </row>
    <row r="632" customFormat="false" ht="15" hidden="false" customHeight="false" outlineLevel="0" collapsed="false">
      <c r="A632" s="20" t="s">
        <v>1232</v>
      </c>
      <c r="B632" s="23" t="n">
        <v>45935</v>
      </c>
      <c r="C632" s="20" t="n">
        <f aca="false">MONTH(B632)</f>
        <v>10</v>
      </c>
      <c r="D632" s="20" t="s">
        <v>296</v>
      </c>
      <c r="E632" s="20" t="s">
        <v>65</v>
      </c>
      <c r="F632" s="20" t="s">
        <v>92</v>
      </c>
      <c r="G632" s="20" t="s">
        <v>196</v>
      </c>
      <c r="H632" s="20" t="n">
        <v>1</v>
      </c>
      <c r="I632" s="24" t="n">
        <v>89</v>
      </c>
      <c r="J632" s="24" t="n">
        <v>41</v>
      </c>
      <c r="K632" s="24" t="n">
        <f aca="false">H632*I632</f>
        <v>89</v>
      </c>
      <c r="L632" s="24" t="n">
        <f aca="false">K632-H632*J632</f>
        <v>48</v>
      </c>
      <c r="M632" s="20" t="s">
        <v>50</v>
      </c>
    </row>
    <row r="633" customFormat="false" ht="15" hidden="false" customHeight="false" outlineLevel="0" collapsed="false">
      <c r="A633" s="20" t="s">
        <v>1660</v>
      </c>
      <c r="B633" s="23" t="n">
        <v>45936</v>
      </c>
      <c r="C633" s="20" t="n">
        <f aca="false">MONTH(B633)</f>
        <v>10</v>
      </c>
      <c r="D633" s="20" t="s">
        <v>486</v>
      </c>
      <c r="E633" s="20" t="s">
        <v>59</v>
      </c>
      <c r="F633" s="20" t="s">
        <v>92</v>
      </c>
      <c r="G633" s="20" t="s">
        <v>196</v>
      </c>
      <c r="H633" s="20" t="n">
        <v>1</v>
      </c>
      <c r="I633" s="24" t="n">
        <v>89</v>
      </c>
      <c r="J633" s="24" t="n">
        <v>41</v>
      </c>
      <c r="K633" s="24" t="n">
        <f aca="false">H633*I633</f>
        <v>89</v>
      </c>
      <c r="L633" s="24" t="n">
        <f aca="false">K633-H633*J633</f>
        <v>48</v>
      </c>
      <c r="M633" s="20" t="s">
        <v>50</v>
      </c>
    </row>
    <row r="634" customFormat="false" ht="15" hidden="false" customHeight="false" outlineLevel="0" collapsed="false">
      <c r="A634" s="20" t="s">
        <v>765</v>
      </c>
      <c r="B634" s="23" t="n">
        <v>45936</v>
      </c>
      <c r="C634" s="20" t="n">
        <f aca="false">MONTH(B634)</f>
        <v>10</v>
      </c>
      <c r="D634" s="20" t="s">
        <v>52</v>
      </c>
      <c r="E634" s="20" t="s">
        <v>59</v>
      </c>
      <c r="F634" s="20" t="s">
        <v>92</v>
      </c>
      <c r="G634" s="20" t="s">
        <v>196</v>
      </c>
      <c r="H634" s="20" t="n">
        <v>1</v>
      </c>
      <c r="I634" s="24" t="n">
        <v>89</v>
      </c>
      <c r="J634" s="24" t="n">
        <v>41</v>
      </c>
      <c r="K634" s="24" t="n">
        <f aca="false">H634*I634</f>
        <v>89</v>
      </c>
      <c r="L634" s="24" t="n">
        <f aca="false">K634-H634*J634</f>
        <v>48</v>
      </c>
      <c r="M634" s="20" t="s">
        <v>50</v>
      </c>
    </row>
    <row r="635" customFormat="false" ht="15" hidden="false" customHeight="false" outlineLevel="0" collapsed="false">
      <c r="A635" s="20" t="s">
        <v>1203</v>
      </c>
      <c r="B635" s="23" t="n">
        <v>45936</v>
      </c>
      <c r="C635" s="20" t="n">
        <f aca="false">MONTH(B635)</f>
        <v>10</v>
      </c>
      <c r="D635" s="20" t="s">
        <v>224</v>
      </c>
      <c r="E635" s="20" t="s">
        <v>47</v>
      </c>
      <c r="F635" s="20" t="s">
        <v>48</v>
      </c>
      <c r="G635" s="20" t="s">
        <v>116</v>
      </c>
      <c r="H635" s="20" t="n">
        <v>1</v>
      </c>
      <c r="I635" s="24" t="n">
        <v>28</v>
      </c>
      <c r="J635" s="24" t="n">
        <v>9</v>
      </c>
      <c r="K635" s="24" t="n">
        <f aca="false">H635*I635</f>
        <v>28</v>
      </c>
      <c r="L635" s="24" t="n">
        <f aca="false">K635-H635*J635</f>
        <v>19</v>
      </c>
      <c r="M635" s="20" t="s">
        <v>112</v>
      </c>
    </row>
    <row r="636" customFormat="false" ht="15" hidden="false" customHeight="false" outlineLevel="0" collapsed="false">
      <c r="A636" s="20" t="s">
        <v>1115</v>
      </c>
      <c r="B636" s="23" t="n">
        <v>45936</v>
      </c>
      <c r="C636" s="20" t="n">
        <f aca="false">MONTH(B636)</f>
        <v>10</v>
      </c>
      <c r="D636" s="20" t="s">
        <v>195</v>
      </c>
      <c r="E636" s="20" t="s">
        <v>70</v>
      </c>
      <c r="F636" s="20" t="s">
        <v>48</v>
      </c>
      <c r="G636" s="20" t="s">
        <v>144</v>
      </c>
      <c r="H636" s="20" t="n">
        <v>1</v>
      </c>
      <c r="I636" s="24" t="n">
        <v>54</v>
      </c>
      <c r="J636" s="24" t="n">
        <v>24</v>
      </c>
      <c r="K636" s="24" t="n">
        <f aca="false">H636*I636</f>
        <v>54</v>
      </c>
      <c r="L636" s="24" t="n">
        <f aca="false">K636-H636*J636</f>
        <v>30</v>
      </c>
      <c r="M636" s="20" t="s">
        <v>50</v>
      </c>
    </row>
    <row r="637" customFormat="false" ht="15" hidden="false" customHeight="false" outlineLevel="0" collapsed="false">
      <c r="A637" s="20" t="s">
        <v>1140</v>
      </c>
      <c r="B637" s="23" t="n">
        <v>45937</v>
      </c>
      <c r="C637" s="20" t="n">
        <f aca="false">MONTH(B637)</f>
        <v>10</v>
      </c>
      <c r="D637" s="20" t="s">
        <v>195</v>
      </c>
      <c r="E637" s="20" t="s">
        <v>59</v>
      </c>
      <c r="F637" s="20" t="s">
        <v>92</v>
      </c>
      <c r="G637" s="20" t="s">
        <v>93</v>
      </c>
      <c r="H637" s="20" t="n">
        <v>1</v>
      </c>
      <c r="I637" s="24" t="n">
        <v>15</v>
      </c>
      <c r="J637" s="24" t="n">
        <v>5</v>
      </c>
      <c r="K637" s="24" t="n">
        <f aca="false">H637*I637</f>
        <v>15</v>
      </c>
      <c r="L637" s="24" t="n">
        <f aca="false">K637-H637*J637</f>
        <v>10</v>
      </c>
      <c r="M637" s="20" t="s">
        <v>50</v>
      </c>
    </row>
    <row r="638" customFormat="false" ht="15" hidden="false" customHeight="false" outlineLevel="0" collapsed="false">
      <c r="A638" s="20" t="s">
        <v>733</v>
      </c>
      <c r="B638" s="23" t="n">
        <v>45937</v>
      </c>
      <c r="C638" s="20" t="n">
        <f aca="false">MONTH(B638)</f>
        <v>10</v>
      </c>
      <c r="D638" s="20" t="s">
        <v>100</v>
      </c>
      <c r="E638" s="20" t="s">
        <v>59</v>
      </c>
      <c r="F638" s="20" t="s">
        <v>48</v>
      </c>
      <c r="G638" s="20" t="s">
        <v>116</v>
      </c>
      <c r="H638" s="20" t="n">
        <v>1</v>
      </c>
      <c r="I638" s="24" t="n">
        <v>28</v>
      </c>
      <c r="J638" s="24" t="n">
        <v>9</v>
      </c>
      <c r="K638" s="24" t="n">
        <f aca="false">H638*I638</f>
        <v>28</v>
      </c>
      <c r="L638" s="24" t="n">
        <f aca="false">K638-H638*J638</f>
        <v>19</v>
      </c>
      <c r="M638" s="20" t="s">
        <v>50</v>
      </c>
    </row>
    <row r="639" customFormat="false" ht="15" hidden="false" customHeight="false" outlineLevel="0" collapsed="false">
      <c r="A639" s="20" t="s">
        <v>718</v>
      </c>
      <c r="B639" s="23" t="n">
        <v>45937</v>
      </c>
      <c r="C639" s="20" t="n">
        <f aca="false">MONTH(B639)</f>
        <v>10</v>
      </c>
      <c r="D639" s="20" t="s">
        <v>719</v>
      </c>
      <c r="E639" s="20" t="s">
        <v>47</v>
      </c>
      <c r="F639" s="20" t="s">
        <v>92</v>
      </c>
      <c r="G639" s="20" t="s">
        <v>93</v>
      </c>
      <c r="H639" s="20" t="n">
        <v>1</v>
      </c>
      <c r="I639" s="24" t="n">
        <v>15</v>
      </c>
      <c r="J639" s="24" t="n">
        <v>5</v>
      </c>
      <c r="K639" s="24" t="n">
        <f aca="false">H639*I639</f>
        <v>15</v>
      </c>
      <c r="L639" s="24" t="n">
        <f aca="false">K639-H639*J639</f>
        <v>10</v>
      </c>
      <c r="M639" s="20" t="s">
        <v>50</v>
      </c>
    </row>
    <row r="640" customFormat="false" ht="15" hidden="false" customHeight="false" outlineLevel="0" collapsed="false">
      <c r="A640" s="20" t="s">
        <v>1286</v>
      </c>
      <c r="B640" s="23" t="n">
        <v>45937</v>
      </c>
      <c r="C640" s="20" t="n">
        <f aca="false">MONTH(B640)</f>
        <v>10</v>
      </c>
      <c r="D640" s="20" t="s">
        <v>600</v>
      </c>
      <c r="E640" s="20" t="s">
        <v>47</v>
      </c>
      <c r="F640" s="20" t="s">
        <v>54</v>
      </c>
      <c r="G640" s="20" t="s">
        <v>72</v>
      </c>
      <c r="H640" s="20" t="n">
        <v>1</v>
      </c>
      <c r="I640" s="24" t="n">
        <v>24</v>
      </c>
      <c r="J640" s="24" t="n">
        <v>9</v>
      </c>
      <c r="K640" s="24" t="n">
        <f aca="false">H640*I640</f>
        <v>24</v>
      </c>
      <c r="L640" s="24" t="n">
        <f aca="false">K640-H640*J640</f>
        <v>15</v>
      </c>
      <c r="M640" s="20" t="s">
        <v>50</v>
      </c>
    </row>
    <row r="641" customFormat="false" ht="15" hidden="false" customHeight="false" outlineLevel="0" collapsed="false">
      <c r="A641" s="20" t="s">
        <v>467</v>
      </c>
      <c r="B641" s="23" t="n">
        <v>45937</v>
      </c>
      <c r="C641" s="20" t="n">
        <f aca="false">MONTH(B641)</f>
        <v>10</v>
      </c>
      <c r="D641" s="20" t="s">
        <v>100</v>
      </c>
      <c r="E641" s="20" t="s">
        <v>47</v>
      </c>
      <c r="F641" s="20" t="s">
        <v>110</v>
      </c>
      <c r="G641" s="20" t="s">
        <v>111</v>
      </c>
      <c r="H641" s="20" t="n">
        <v>1</v>
      </c>
      <c r="I641" s="24" t="n">
        <v>16</v>
      </c>
      <c r="J641" s="24" t="n">
        <v>5</v>
      </c>
      <c r="K641" s="24" t="n">
        <f aca="false">H641*I641</f>
        <v>16</v>
      </c>
      <c r="L641" s="24" t="n">
        <f aca="false">K641-H641*J641</f>
        <v>11</v>
      </c>
      <c r="M641" s="20" t="s">
        <v>50</v>
      </c>
    </row>
    <row r="642" customFormat="false" ht="15" hidden="false" customHeight="false" outlineLevel="0" collapsed="false">
      <c r="A642" s="20" t="s">
        <v>1625</v>
      </c>
      <c r="B642" s="23" t="n">
        <v>45938</v>
      </c>
      <c r="C642" s="20" t="n">
        <f aca="false">MONTH(B642)</f>
        <v>10</v>
      </c>
      <c r="D642" s="20" t="s">
        <v>901</v>
      </c>
      <c r="E642" s="20" t="s">
        <v>59</v>
      </c>
      <c r="F642" s="20" t="s">
        <v>54</v>
      </c>
      <c r="G642" s="20" t="s">
        <v>76</v>
      </c>
      <c r="H642" s="20" t="n">
        <v>1</v>
      </c>
      <c r="I642" s="24" t="n">
        <v>32</v>
      </c>
      <c r="J642" s="24" t="n">
        <v>13</v>
      </c>
      <c r="K642" s="24" t="n">
        <f aca="false">H642*I642</f>
        <v>32</v>
      </c>
      <c r="L642" s="24" t="n">
        <f aca="false">K642-H642*J642</f>
        <v>19</v>
      </c>
      <c r="M642" s="20" t="s">
        <v>50</v>
      </c>
    </row>
    <row r="643" customFormat="false" ht="15" hidden="false" customHeight="false" outlineLevel="0" collapsed="false">
      <c r="A643" s="20" t="s">
        <v>376</v>
      </c>
      <c r="B643" s="23" t="n">
        <v>45938</v>
      </c>
      <c r="C643" s="20" t="n">
        <f aca="false">MONTH(B643)</f>
        <v>10</v>
      </c>
      <c r="D643" s="20" t="s">
        <v>377</v>
      </c>
      <c r="E643" s="20" t="s">
        <v>70</v>
      </c>
      <c r="F643" s="20" t="s">
        <v>81</v>
      </c>
      <c r="G643" s="20" t="s">
        <v>82</v>
      </c>
      <c r="H643" s="20" t="n">
        <v>2</v>
      </c>
      <c r="I643" s="24" t="n">
        <v>22</v>
      </c>
      <c r="J643" s="24" t="n">
        <v>8</v>
      </c>
      <c r="K643" s="24" t="n">
        <f aca="false">H643*I643</f>
        <v>44</v>
      </c>
      <c r="L643" s="24" t="n">
        <f aca="false">K643-H643*J643</f>
        <v>28</v>
      </c>
      <c r="M643" s="20" t="s">
        <v>50</v>
      </c>
    </row>
    <row r="644" customFormat="false" ht="15" hidden="false" customHeight="false" outlineLevel="0" collapsed="false">
      <c r="A644" s="20" t="s">
        <v>816</v>
      </c>
      <c r="B644" s="23" t="n">
        <v>45939</v>
      </c>
      <c r="C644" s="20" t="n">
        <f aca="false">MONTH(B644)</f>
        <v>10</v>
      </c>
      <c r="D644" s="20" t="s">
        <v>719</v>
      </c>
      <c r="E644" s="20" t="s">
        <v>59</v>
      </c>
      <c r="F644" s="20" t="s">
        <v>81</v>
      </c>
      <c r="G644" s="20" t="s">
        <v>82</v>
      </c>
      <c r="H644" s="20" t="n">
        <v>1</v>
      </c>
      <c r="I644" s="24" t="n">
        <v>22</v>
      </c>
      <c r="J644" s="24" t="n">
        <v>8</v>
      </c>
      <c r="K644" s="24" t="n">
        <f aca="false">H644*I644</f>
        <v>22</v>
      </c>
      <c r="L644" s="24" t="n">
        <f aca="false">K644-H644*J644</f>
        <v>14</v>
      </c>
      <c r="M644" s="20" t="s">
        <v>50</v>
      </c>
    </row>
    <row r="645" customFormat="false" ht="15" hidden="false" customHeight="false" outlineLevel="0" collapsed="false">
      <c r="A645" s="20" t="s">
        <v>1304</v>
      </c>
      <c r="B645" s="23" t="n">
        <v>45941</v>
      </c>
      <c r="C645" s="20" t="n">
        <f aca="false">MONTH(B645)</f>
        <v>10</v>
      </c>
      <c r="D645" s="20" t="s">
        <v>306</v>
      </c>
      <c r="E645" s="20" t="s">
        <v>70</v>
      </c>
      <c r="F645" s="20" t="s">
        <v>92</v>
      </c>
      <c r="G645" s="20" t="s">
        <v>93</v>
      </c>
      <c r="H645" s="20" t="n">
        <v>3</v>
      </c>
      <c r="I645" s="24" t="n">
        <v>15</v>
      </c>
      <c r="J645" s="24" t="n">
        <v>5</v>
      </c>
      <c r="K645" s="24" t="n">
        <f aca="false">H645*I645</f>
        <v>45</v>
      </c>
      <c r="L645" s="24" t="n">
        <f aca="false">K645-H645*J645</f>
        <v>30</v>
      </c>
      <c r="M645" s="20" t="s">
        <v>50</v>
      </c>
    </row>
    <row r="646" customFormat="false" ht="15" hidden="false" customHeight="false" outlineLevel="0" collapsed="false">
      <c r="A646" s="20" t="s">
        <v>1598</v>
      </c>
      <c r="B646" s="23" t="n">
        <v>45941</v>
      </c>
      <c r="C646" s="20" t="n">
        <f aca="false">MONTH(B646)</f>
        <v>10</v>
      </c>
      <c r="D646" s="20" t="s">
        <v>616</v>
      </c>
      <c r="E646" s="20" t="s">
        <v>109</v>
      </c>
      <c r="F646" s="20" t="s">
        <v>110</v>
      </c>
      <c r="G646" s="20" t="s">
        <v>111</v>
      </c>
      <c r="H646" s="20" t="n">
        <v>1</v>
      </c>
      <c r="I646" s="24" t="n">
        <v>16</v>
      </c>
      <c r="J646" s="24" t="n">
        <v>5</v>
      </c>
      <c r="K646" s="24" t="n">
        <f aca="false">H646*I646</f>
        <v>16</v>
      </c>
      <c r="L646" s="24" t="n">
        <f aca="false">K646-H646*J646</f>
        <v>11</v>
      </c>
      <c r="M646" s="20" t="s">
        <v>50</v>
      </c>
    </row>
    <row r="647" customFormat="false" ht="15" hidden="false" customHeight="false" outlineLevel="0" collapsed="false">
      <c r="A647" s="20" t="s">
        <v>995</v>
      </c>
      <c r="B647" s="23" t="n">
        <v>45941</v>
      </c>
      <c r="C647" s="20" t="n">
        <f aca="false">MONTH(B647)</f>
        <v>10</v>
      </c>
      <c r="D647" s="20" t="s">
        <v>573</v>
      </c>
      <c r="E647" s="20" t="s">
        <v>47</v>
      </c>
      <c r="F647" s="20" t="s">
        <v>92</v>
      </c>
      <c r="G647" s="20" t="s">
        <v>93</v>
      </c>
      <c r="H647" s="20" t="n">
        <v>2</v>
      </c>
      <c r="I647" s="24" t="n">
        <v>15</v>
      </c>
      <c r="J647" s="24" t="n">
        <v>5</v>
      </c>
      <c r="K647" s="24" t="n">
        <f aca="false">H647*I647</f>
        <v>30</v>
      </c>
      <c r="L647" s="24" t="n">
        <f aca="false">K647-H647*J647</f>
        <v>20</v>
      </c>
      <c r="M647" s="20" t="s">
        <v>50</v>
      </c>
    </row>
    <row r="648" customFormat="false" ht="15" hidden="false" customHeight="false" outlineLevel="0" collapsed="false">
      <c r="A648" s="20" t="s">
        <v>1410</v>
      </c>
      <c r="B648" s="23" t="n">
        <v>45941</v>
      </c>
      <c r="C648" s="20" t="n">
        <f aca="false">MONTH(B648)</f>
        <v>10</v>
      </c>
      <c r="D648" s="20" t="s">
        <v>424</v>
      </c>
      <c r="E648" s="20" t="s">
        <v>59</v>
      </c>
      <c r="F648" s="20" t="s">
        <v>92</v>
      </c>
      <c r="G648" s="20" t="s">
        <v>93</v>
      </c>
      <c r="H648" s="20" t="n">
        <v>3</v>
      </c>
      <c r="I648" s="24" t="n">
        <v>15</v>
      </c>
      <c r="J648" s="24" t="n">
        <v>5</v>
      </c>
      <c r="K648" s="24" t="n">
        <f aca="false">H648*I648</f>
        <v>45</v>
      </c>
      <c r="L648" s="24" t="n">
        <f aca="false">K648-H648*J648</f>
        <v>30</v>
      </c>
      <c r="M648" s="20" t="s">
        <v>50</v>
      </c>
    </row>
    <row r="649" customFormat="false" ht="15" hidden="false" customHeight="false" outlineLevel="0" collapsed="false">
      <c r="A649" s="20" t="s">
        <v>221</v>
      </c>
      <c r="B649" s="23" t="n">
        <v>45942</v>
      </c>
      <c r="C649" s="20" t="n">
        <f aca="false">MONTH(B649)</f>
        <v>10</v>
      </c>
      <c r="D649" s="20" t="s">
        <v>97</v>
      </c>
      <c r="E649" s="20" t="s">
        <v>109</v>
      </c>
      <c r="F649" s="20" t="s">
        <v>81</v>
      </c>
      <c r="G649" s="20" t="s">
        <v>61</v>
      </c>
      <c r="H649" s="20" t="n">
        <v>1</v>
      </c>
      <c r="I649" s="24" t="n">
        <v>35</v>
      </c>
      <c r="J649" s="24" t="n">
        <v>12</v>
      </c>
      <c r="K649" s="24" t="n">
        <f aca="false">H649*I649</f>
        <v>35</v>
      </c>
      <c r="L649" s="24" t="n">
        <f aca="false">K649-H649*J649</f>
        <v>23</v>
      </c>
      <c r="M649" s="20" t="s">
        <v>50</v>
      </c>
    </row>
    <row r="650" customFormat="false" ht="15" hidden="false" customHeight="false" outlineLevel="0" collapsed="false">
      <c r="A650" s="20" t="s">
        <v>1449</v>
      </c>
      <c r="B650" s="23" t="n">
        <v>45942</v>
      </c>
      <c r="C650" s="20" t="n">
        <f aca="false">MONTH(B650)</f>
        <v>10</v>
      </c>
      <c r="D650" s="20" t="s">
        <v>281</v>
      </c>
      <c r="E650" s="20" t="s">
        <v>47</v>
      </c>
      <c r="F650" s="20" t="s">
        <v>81</v>
      </c>
      <c r="G650" s="20" t="s">
        <v>82</v>
      </c>
      <c r="H650" s="20" t="n">
        <v>1</v>
      </c>
      <c r="I650" s="24" t="n">
        <v>22</v>
      </c>
      <c r="J650" s="24" t="n">
        <v>8</v>
      </c>
      <c r="K650" s="24" t="n">
        <f aca="false">H650*I650</f>
        <v>22</v>
      </c>
      <c r="L650" s="24" t="n">
        <f aca="false">K650-H650*J650</f>
        <v>14</v>
      </c>
      <c r="M650" s="20" t="s">
        <v>50</v>
      </c>
    </row>
    <row r="651" customFormat="false" ht="15" hidden="false" customHeight="false" outlineLevel="0" collapsed="false">
      <c r="A651" s="20" t="s">
        <v>472</v>
      </c>
      <c r="B651" s="23" t="n">
        <v>45942</v>
      </c>
      <c r="C651" s="20" t="n">
        <f aca="false">MONTH(B651)</f>
        <v>10</v>
      </c>
      <c r="D651" s="20" t="s">
        <v>338</v>
      </c>
      <c r="E651" s="20" t="s">
        <v>47</v>
      </c>
      <c r="F651" s="20" t="s">
        <v>54</v>
      </c>
      <c r="G651" s="20" t="s">
        <v>55</v>
      </c>
      <c r="H651" s="20" t="n">
        <v>2</v>
      </c>
      <c r="I651" s="24" t="n">
        <v>38</v>
      </c>
      <c r="J651" s="24" t="n">
        <v>16</v>
      </c>
      <c r="K651" s="24" t="n">
        <f aca="false">H651*I651</f>
        <v>76</v>
      </c>
      <c r="L651" s="24" t="n">
        <f aca="false">K651-H651*J651</f>
        <v>44</v>
      </c>
      <c r="M651" s="20" t="s">
        <v>50</v>
      </c>
    </row>
    <row r="652" customFormat="false" ht="15" hidden="false" customHeight="false" outlineLevel="0" collapsed="false">
      <c r="A652" s="20" t="s">
        <v>915</v>
      </c>
      <c r="B652" s="23" t="n">
        <v>45942</v>
      </c>
      <c r="C652" s="20" t="n">
        <f aca="false">MONTH(B652)</f>
        <v>10</v>
      </c>
      <c r="D652" s="20" t="s">
        <v>64</v>
      </c>
      <c r="E652" s="20" t="s">
        <v>59</v>
      </c>
      <c r="F652" s="20" t="s">
        <v>110</v>
      </c>
      <c r="G652" s="20" t="s">
        <v>236</v>
      </c>
      <c r="H652" s="20" t="n">
        <v>2</v>
      </c>
      <c r="I652" s="24" t="n">
        <v>30</v>
      </c>
      <c r="J652" s="24" t="n">
        <v>11</v>
      </c>
      <c r="K652" s="24" t="n">
        <f aca="false">H652*I652</f>
        <v>60</v>
      </c>
      <c r="L652" s="24" t="n">
        <f aca="false">K652-H652*J652</f>
        <v>38</v>
      </c>
      <c r="M652" s="20" t="s">
        <v>50</v>
      </c>
    </row>
    <row r="653" customFormat="false" ht="15" hidden="false" customHeight="false" outlineLevel="0" collapsed="false">
      <c r="A653" s="20" t="s">
        <v>1234</v>
      </c>
      <c r="B653" s="23" t="n">
        <v>45942</v>
      </c>
      <c r="C653" s="20" t="n">
        <f aca="false">MONTH(B653)</f>
        <v>10</v>
      </c>
      <c r="D653" s="20" t="s">
        <v>1197</v>
      </c>
      <c r="E653" s="20" t="s">
        <v>59</v>
      </c>
      <c r="F653" s="20" t="s">
        <v>48</v>
      </c>
      <c r="G653" s="20" t="s">
        <v>116</v>
      </c>
      <c r="H653" s="20" t="n">
        <v>3</v>
      </c>
      <c r="I653" s="24" t="n">
        <v>28</v>
      </c>
      <c r="J653" s="24" t="n">
        <v>9</v>
      </c>
      <c r="K653" s="24" t="n">
        <f aca="false">H653*I653</f>
        <v>84</v>
      </c>
      <c r="L653" s="24" t="n">
        <f aca="false">K653-H653*J653</f>
        <v>57</v>
      </c>
      <c r="M653" s="20" t="s">
        <v>50</v>
      </c>
    </row>
    <row r="654" customFormat="false" ht="15" hidden="false" customHeight="false" outlineLevel="0" collapsed="false">
      <c r="A654" s="20" t="s">
        <v>1613</v>
      </c>
      <c r="B654" s="23" t="n">
        <v>45942</v>
      </c>
      <c r="C654" s="20" t="n">
        <f aca="false">MONTH(B654)</f>
        <v>10</v>
      </c>
      <c r="D654" s="20" t="s">
        <v>186</v>
      </c>
      <c r="E654" s="20" t="s">
        <v>70</v>
      </c>
      <c r="F654" s="20" t="s">
        <v>110</v>
      </c>
      <c r="G654" s="20" t="s">
        <v>121</v>
      </c>
      <c r="H654" s="20" t="n">
        <v>1</v>
      </c>
      <c r="I654" s="24" t="n">
        <v>21</v>
      </c>
      <c r="J654" s="24" t="n">
        <v>7</v>
      </c>
      <c r="K654" s="24" t="n">
        <f aca="false">H654*I654</f>
        <v>21</v>
      </c>
      <c r="L654" s="24" t="n">
        <f aca="false">K654-H654*J654</f>
        <v>14</v>
      </c>
      <c r="M654" s="20" t="s">
        <v>50</v>
      </c>
    </row>
    <row r="655" customFormat="false" ht="15" hidden="false" customHeight="false" outlineLevel="0" collapsed="false">
      <c r="A655" s="20" t="s">
        <v>62</v>
      </c>
      <c r="B655" s="23" t="n">
        <v>45942</v>
      </c>
      <c r="C655" s="20" t="n">
        <f aca="false">MONTH(B655)</f>
        <v>10</v>
      </c>
      <c r="D655" s="20" t="s">
        <v>64</v>
      </c>
      <c r="E655" s="20" t="s">
        <v>65</v>
      </c>
      <c r="F655" s="20" t="s">
        <v>81</v>
      </c>
      <c r="G655" s="20" t="s">
        <v>67</v>
      </c>
      <c r="H655" s="20" t="n">
        <v>1</v>
      </c>
      <c r="I655" s="24" t="n">
        <v>45</v>
      </c>
      <c r="J655" s="24" t="n">
        <v>17</v>
      </c>
      <c r="K655" s="24" t="n">
        <f aca="false">H655*I655</f>
        <v>45</v>
      </c>
      <c r="L655" s="24" t="n">
        <f aca="false">K655-H655*J655</f>
        <v>28</v>
      </c>
      <c r="M655" s="20" t="s">
        <v>50</v>
      </c>
    </row>
    <row r="656" customFormat="false" ht="15" hidden="false" customHeight="false" outlineLevel="0" collapsed="false">
      <c r="A656" s="20" t="s">
        <v>717</v>
      </c>
      <c r="B656" s="23" t="n">
        <v>45942</v>
      </c>
      <c r="C656" s="20" t="n">
        <f aca="false">MONTH(B656)</f>
        <v>10</v>
      </c>
      <c r="D656" s="20" t="s">
        <v>227</v>
      </c>
      <c r="E656" s="20" t="s">
        <v>47</v>
      </c>
      <c r="F656" s="20" t="s">
        <v>48</v>
      </c>
      <c r="G656" s="20" t="s">
        <v>116</v>
      </c>
      <c r="H656" s="20" t="n">
        <v>3</v>
      </c>
      <c r="I656" s="24" t="n">
        <v>28</v>
      </c>
      <c r="J656" s="24" t="n">
        <v>9</v>
      </c>
      <c r="K656" s="24" t="n">
        <f aca="false">H656*I656</f>
        <v>84</v>
      </c>
      <c r="L656" s="24" t="n">
        <f aca="false">K656-H656*J656</f>
        <v>57</v>
      </c>
      <c r="M656" s="20" t="s">
        <v>50</v>
      </c>
    </row>
    <row r="657" customFormat="false" ht="15" hidden="false" customHeight="false" outlineLevel="0" collapsed="false">
      <c r="A657" s="20" t="s">
        <v>1189</v>
      </c>
      <c r="B657" s="23" t="n">
        <v>45944</v>
      </c>
      <c r="C657" s="20" t="n">
        <f aca="false">MONTH(B657)</f>
        <v>10</v>
      </c>
      <c r="D657" s="20" t="s">
        <v>250</v>
      </c>
      <c r="E657" s="20" t="s">
        <v>65</v>
      </c>
      <c r="F657" s="20" t="s">
        <v>92</v>
      </c>
      <c r="G657" s="20" t="s">
        <v>105</v>
      </c>
      <c r="H657" s="20" t="n">
        <v>1</v>
      </c>
      <c r="I657" s="24" t="n">
        <v>49</v>
      </c>
      <c r="J657" s="24" t="n">
        <v>22</v>
      </c>
      <c r="K657" s="24" t="n">
        <f aca="false">H657*I657</f>
        <v>49</v>
      </c>
      <c r="L657" s="24" t="n">
        <f aca="false">K657-H657*J657</f>
        <v>27</v>
      </c>
      <c r="M657" s="20" t="s">
        <v>50</v>
      </c>
    </row>
    <row r="658" customFormat="false" ht="15" hidden="false" customHeight="false" outlineLevel="0" collapsed="false">
      <c r="A658" s="20" t="s">
        <v>148</v>
      </c>
      <c r="B658" s="23" t="n">
        <v>45945</v>
      </c>
      <c r="C658" s="20" t="n">
        <f aca="false">MONTH(B658)</f>
        <v>10</v>
      </c>
      <c r="D658" s="20" t="s">
        <v>150</v>
      </c>
      <c r="E658" s="20" t="s">
        <v>47</v>
      </c>
      <c r="F658" s="20" t="s">
        <v>48</v>
      </c>
      <c r="G658" s="20" t="s">
        <v>116</v>
      </c>
      <c r="H658" s="20" t="n">
        <v>1</v>
      </c>
      <c r="I658" s="24" t="n">
        <v>28</v>
      </c>
      <c r="J658" s="24" t="n">
        <v>9</v>
      </c>
      <c r="K658" s="24" t="n">
        <f aca="false">H658*I658</f>
        <v>28</v>
      </c>
      <c r="L658" s="24" t="n">
        <f aca="false">K658-H658*J658</f>
        <v>19</v>
      </c>
      <c r="M658" s="20" t="s">
        <v>50</v>
      </c>
    </row>
    <row r="659" customFormat="false" ht="15" hidden="false" customHeight="false" outlineLevel="0" collapsed="false">
      <c r="A659" s="20" t="s">
        <v>68</v>
      </c>
      <c r="B659" s="23" t="n">
        <v>45945</v>
      </c>
      <c r="C659" s="20" t="n">
        <f aca="false">MONTH(B659)</f>
        <v>10</v>
      </c>
      <c r="D659" s="20" t="s">
        <v>69</v>
      </c>
      <c r="E659" s="20" t="s">
        <v>70</v>
      </c>
      <c r="F659" s="20" t="s">
        <v>54</v>
      </c>
      <c r="G659" s="20" t="s">
        <v>72</v>
      </c>
      <c r="H659" s="20" t="n">
        <v>1</v>
      </c>
      <c r="I659" s="24" t="n">
        <v>24</v>
      </c>
      <c r="J659" s="24" t="n">
        <v>9</v>
      </c>
      <c r="K659" s="24" t="n">
        <f aca="false">H659*I659</f>
        <v>24</v>
      </c>
      <c r="L659" s="24" t="n">
        <f aca="false">K659-H659*J659</f>
        <v>15</v>
      </c>
      <c r="M659" s="20" t="s">
        <v>50</v>
      </c>
    </row>
    <row r="660" customFormat="false" ht="15" hidden="false" customHeight="false" outlineLevel="0" collapsed="false">
      <c r="A660" s="20" t="s">
        <v>774</v>
      </c>
      <c r="B660" s="23" t="n">
        <v>45946</v>
      </c>
      <c r="C660" s="20" t="n">
        <f aca="false">MONTH(B660)</f>
        <v>10</v>
      </c>
      <c r="D660" s="20" t="s">
        <v>104</v>
      </c>
      <c r="E660" s="20" t="s">
        <v>47</v>
      </c>
      <c r="F660" s="20" t="s">
        <v>48</v>
      </c>
      <c r="G660" s="20" t="s">
        <v>116</v>
      </c>
      <c r="H660" s="20" t="n">
        <v>2</v>
      </c>
      <c r="I660" s="24" t="n">
        <v>28</v>
      </c>
      <c r="J660" s="24" t="n">
        <v>9</v>
      </c>
      <c r="K660" s="24" t="n">
        <f aca="false">H660*I660</f>
        <v>56</v>
      </c>
      <c r="L660" s="24" t="n">
        <f aca="false">K660-H660*J660</f>
        <v>38</v>
      </c>
      <c r="M660" s="20" t="s">
        <v>50</v>
      </c>
    </row>
    <row r="661" customFormat="false" ht="15" hidden="false" customHeight="false" outlineLevel="0" collapsed="false">
      <c r="A661" s="20" t="s">
        <v>1239</v>
      </c>
      <c r="B661" s="23" t="n">
        <v>45946</v>
      </c>
      <c r="C661" s="20" t="n">
        <f aca="false">MONTH(B661)</f>
        <v>10</v>
      </c>
      <c r="D661" s="20" t="s">
        <v>548</v>
      </c>
      <c r="E661" s="20" t="s">
        <v>109</v>
      </c>
      <c r="F661" s="20" t="s">
        <v>92</v>
      </c>
      <c r="G661" s="20" t="s">
        <v>93</v>
      </c>
      <c r="H661" s="20" t="n">
        <v>2</v>
      </c>
      <c r="I661" s="24" t="n">
        <v>15</v>
      </c>
      <c r="J661" s="24" t="n">
        <v>5</v>
      </c>
      <c r="K661" s="24" t="n">
        <f aca="false">H661*I661</f>
        <v>30</v>
      </c>
      <c r="L661" s="24" t="n">
        <f aca="false">K661-H661*J661</f>
        <v>20</v>
      </c>
      <c r="M661" s="20" t="s">
        <v>50</v>
      </c>
    </row>
    <row r="662" customFormat="false" ht="15" hidden="false" customHeight="false" outlineLevel="0" collapsed="false">
      <c r="A662" s="20" t="s">
        <v>1257</v>
      </c>
      <c r="B662" s="23" t="n">
        <v>45946</v>
      </c>
      <c r="C662" s="20" t="n">
        <f aca="false">MONTH(B662)</f>
        <v>10</v>
      </c>
      <c r="D662" s="20" t="s">
        <v>304</v>
      </c>
      <c r="E662" s="20" t="s">
        <v>47</v>
      </c>
      <c r="F662" s="20" t="s">
        <v>110</v>
      </c>
      <c r="G662" s="20" t="s">
        <v>111</v>
      </c>
      <c r="H662" s="20" t="n">
        <v>1</v>
      </c>
      <c r="I662" s="24" t="n">
        <v>16</v>
      </c>
      <c r="J662" s="24" t="n">
        <v>5</v>
      </c>
      <c r="K662" s="24" t="n">
        <f aca="false">H662*I662</f>
        <v>16</v>
      </c>
      <c r="L662" s="24" t="n">
        <f aca="false">K662-H662*J662</f>
        <v>11</v>
      </c>
      <c r="M662" s="20" t="s">
        <v>50</v>
      </c>
    </row>
    <row r="663" customFormat="false" ht="15" hidden="false" customHeight="false" outlineLevel="0" collapsed="false">
      <c r="A663" s="20" t="s">
        <v>513</v>
      </c>
      <c r="B663" s="23" t="n">
        <v>45947</v>
      </c>
      <c r="C663" s="20" t="n">
        <f aca="false">MONTH(B663)</f>
        <v>10</v>
      </c>
      <c r="D663" s="20" t="s">
        <v>424</v>
      </c>
      <c r="E663" s="20" t="s">
        <v>109</v>
      </c>
      <c r="F663" s="20" t="s">
        <v>54</v>
      </c>
      <c r="G663" s="20" t="s">
        <v>72</v>
      </c>
      <c r="H663" s="20" t="n">
        <v>1</v>
      </c>
      <c r="I663" s="24" t="n">
        <v>24</v>
      </c>
      <c r="J663" s="24" t="n">
        <v>9</v>
      </c>
      <c r="K663" s="24" t="n">
        <f aca="false">H663*I663</f>
        <v>24</v>
      </c>
      <c r="L663" s="24" t="n">
        <f aca="false">K663-H663*J663</f>
        <v>15</v>
      </c>
      <c r="M663" s="20" t="s">
        <v>50</v>
      </c>
    </row>
    <row r="664" customFormat="false" ht="15" hidden="false" customHeight="false" outlineLevel="0" collapsed="false">
      <c r="A664" s="20" t="s">
        <v>1325</v>
      </c>
      <c r="B664" s="23" t="n">
        <v>45947</v>
      </c>
      <c r="C664" s="20" t="n">
        <f aca="false">MONTH(B664)</f>
        <v>10</v>
      </c>
      <c r="D664" s="20" t="s">
        <v>801</v>
      </c>
      <c r="E664" s="20" t="s">
        <v>70</v>
      </c>
      <c r="F664" s="20" t="s">
        <v>92</v>
      </c>
      <c r="G664" s="20" t="s">
        <v>93</v>
      </c>
      <c r="H664" s="20" t="n">
        <v>1</v>
      </c>
      <c r="I664" s="24" t="n">
        <v>15</v>
      </c>
      <c r="J664" s="24" t="n">
        <v>5</v>
      </c>
      <c r="K664" s="24" t="n">
        <f aca="false">H664*I664</f>
        <v>15</v>
      </c>
      <c r="L664" s="24" t="n">
        <f aca="false">K664-H664*J664</f>
        <v>10</v>
      </c>
      <c r="M664" s="20" t="s">
        <v>112</v>
      </c>
    </row>
    <row r="665" customFormat="false" ht="15" hidden="false" customHeight="false" outlineLevel="0" collapsed="false">
      <c r="A665" s="20" t="s">
        <v>863</v>
      </c>
      <c r="B665" s="23" t="n">
        <v>45947</v>
      </c>
      <c r="C665" s="20" t="n">
        <f aca="false">MONTH(B665)</f>
        <v>10</v>
      </c>
      <c r="D665" s="20" t="s">
        <v>570</v>
      </c>
      <c r="E665" s="20" t="s">
        <v>59</v>
      </c>
      <c r="F665" s="20" t="s">
        <v>92</v>
      </c>
      <c r="G665" s="20" t="s">
        <v>93</v>
      </c>
      <c r="H665" s="20" t="n">
        <v>1</v>
      </c>
      <c r="I665" s="24" t="n">
        <v>15</v>
      </c>
      <c r="J665" s="24" t="n">
        <v>5</v>
      </c>
      <c r="K665" s="24" t="n">
        <f aca="false">H665*I665</f>
        <v>15</v>
      </c>
      <c r="L665" s="24" t="n">
        <f aca="false">K665-H665*J665</f>
        <v>10</v>
      </c>
      <c r="M665" s="20" t="s">
        <v>50</v>
      </c>
    </row>
    <row r="666" customFormat="false" ht="15" hidden="false" customHeight="false" outlineLevel="0" collapsed="false">
      <c r="A666" s="20" t="s">
        <v>381</v>
      </c>
      <c r="B666" s="23" t="n">
        <v>45947</v>
      </c>
      <c r="C666" s="20" t="n">
        <f aca="false">MONTH(B666)</f>
        <v>10</v>
      </c>
      <c r="D666" s="20" t="s">
        <v>224</v>
      </c>
      <c r="E666" s="20" t="s">
        <v>70</v>
      </c>
      <c r="F666" s="20" t="s">
        <v>81</v>
      </c>
      <c r="G666" s="20" t="s">
        <v>61</v>
      </c>
      <c r="H666" s="20" t="n">
        <v>1</v>
      </c>
      <c r="I666" s="24" t="n">
        <v>35</v>
      </c>
      <c r="J666" s="24" t="n">
        <v>12</v>
      </c>
      <c r="K666" s="24" t="n">
        <f aca="false">H666*I666</f>
        <v>35</v>
      </c>
      <c r="L666" s="24" t="n">
        <f aca="false">K666-H666*J666</f>
        <v>23</v>
      </c>
      <c r="M666" s="20" t="s">
        <v>50</v>
      </c>
    </row>
    <row r="667" customFormat="false" ht="15" hidden="false" customHeight="false" outlineLevel="0" collapsed="false">
      <c r="A667" s="20" t="s">
        <v>1619</v>
      </c>
      <c r="B667" s="23" t="n">
        <v>45947</v>
      </c>
      <c r="C667" s="20" t="n">
        <f aca="false">MONTH(B667)</f>
        <v>10</v>
      </c>
      <c r="D667" s="20" t="s">
        <v>600</v>
      </c>
      <c r="E667" s="20" t="s">
        <v>47</v>
      </c>
      <c r="F667" s="20" t="s">
        <v>48</v>
      </c>
      <c r="G667" s="20" t="s">
        <v>49</v>
      </c>
      <c r="H667" s="20" t="n">
        <v>1</v>
      </c>
      <c r="I667" s="24" t="n">
        <v>18</v>
      </c>
      <c r="J667" s="24" t="n">
        <v>5</v>
      </c>
      <c r="K667" s="24" t="n">
        <f aca="false">H667*I667</f>
        <v>18</v>
      </c>
      <c r="L667" s="24" t="n">
        <f aca="false">K667-H667*J667</f>
        <v>13</v>
      </c>
      <c r="M667" s="20" t="s">
        <v>50</v>
      </c>
    </row>
    <row r="668" customFormat="false" ht="15" hidden="false" customHeight="false" outlineLevel="0" collapsed="false">
      <c r="A668" s="20" t="s">
        <v>565</v>
      </c>
      <c r="B668" s="23" t="n">
        <v>45949</v>
      </c>
      <c r="C668" s="20" t="n">
        <f aca="false">MONTH(B668)</f>
        <v>10</v>
      </c>
      <c r="D668" s="20" t="s">
        <v>100</v>
      </c>
      <c r="E668" s="20" t="s">
        <v>47</v>
      </c>
      <c r="F668" s="20" t="s">
        <v>54</v>
      </c>
      <c r="G668" s="20" t="s">
        <v>72</v>
      </c>
      <c r="H668" s="20" t="n">
        <v>1</v>
      </c>
      <c r="I668" s="24" t="n">
        <v>24</v>
      </c>
      <c r="J668" s="24" t="n">
        <v>9</v>
      </c>
      <c r="K668" s="24" t="n">
        <f aca="false">H668*I668</f>
        <v>24</v>
      </c>
      <c r="L668" s="24" t="n">
        <f aca="false">K668-H668*J668</f>
        <v>15</v>
      </c>
      <c r="M668" s="20" t="s">
        <v>50</v>
      </c>
    </row>
    <row r="669" customFormat="false" ht="15" hidden="false" customHeight="false" outlineLevel="0" collapsed="false">
      <c r="A669" s="20" t="s">
        <v>1375</v>
      </c>
      <c r="B669" s="23" t="n">
        <v>45950</v>
      </c>
      <c r="C669" s="20" t="n">
        <f aca="false">MONTH(B669)</f>
        <v>10</v>
      </c>
      <c r="D669" s="20" t="s">
        <v>483</v>
      </c>
      <c r="E669" s="20" t="s">
        <v>47</v>
      </c>
      <c r="F669" s="20" t="s">
        <v>92</v>
      </c>
      <c r="G669" s="20" t="s">
        <v>196</v>
      </c>
      <c r="H669" s="20" t="n">
        <v>1</v>
      </c>
      <c r="I669" s="24" t="n">
        <v>89</v>
      </c>
      <c r="J669" s="24" t="n">
        <v>41</v>
      </c>
      <c r="K669" s="24" t="n">
        <f aca="false">H669*I669</f>
        <v>89</v>
      </c>
      <c r="L669" s="24" t="n">
        <f aca="false">K669-H669*J669</f>
        <v>48</v>
      </c>
      <c r="M669" s="20" t="s">
        <v>50</v>
      </c>
    </row>
    <row r="670" customFormat="false" ht="15" hidden="false" customHeight="false" outlineLevel="0" collapsed="false">
      <c r="A670" s="20" t="s">
        <v>1589</v>
      </c>
      <c r="B670" s="23" t="n">
        <v>45951</v>
      </c>
      <c r="C670" s="20" t="n">
        <f aca="false">MONTH(B670)</f>
        <v>10</v>
      </c>
      <c r="D670" s="20" t="s">
        <v>125</v>
      </c>
      <c r="E670" s="20" t="s">
        <v>65</v>
      </c>
      <c r="F670" s="20" t="s">
        <v>54</v>
      </c>
      <c r="G670" s="20" t="s">
        <v>76</v>
      </c>
      <c r="H670" s="20" t="n">
        <v>1</v>
      </c>
      <c r="I670" s="24" t="n">
        <v>32</v>
      </c>
      <c r="J670" s="24" t="n">
        <v>13</v>
      </c>
      <c r="K670" s="24" t="n">
        <f aca="false">H670*I670</f>
        <v>32</v>
      </c>
      <c r="L670" s="24" t="n">
        <f aca="false">K670-H670*J670</f>
        <v>19</v>
      </c>
      <c r="M670" s="20" t="s">
        <v>50</v>
      </c>
    </row>
    <row r="671" customFormat="false" ht="15" hidden="false" customHeight="false" outlineLevel="0" collapsed="false">
      <c r="A671" s="20" t="s">
        <v>339</v>
      </c>
      <c r="B671" s="23" t="n">
        <v>45951</v>
      </c>
      <c r="C671" s="20" t="n">
        <f aca="false">MONTH(B671)</f>
        <v>10</v>
      </c>
      <c r="D671" s="20" t="s">
        <v>214</v>
      </c>
      <c r="E671" s="20" t="s">
        <v>70</v>
      </c>
      <c r="F671" s="20" t="s">
        <v>48</v>
      </c>
      <c r="G671" s="20" t="s">
        <v>144</v>
      </c>
      <c r="H671" s="20" t="n">
        <v>2</v>
      </c>
      <c r="I671" s="24" t="n">
        <v>54</v>
      </c>
      <c r="J671" s="24" t="n">
        <v>24</v>
      </c>
      <c r="K671" s="24" t="n">
        <f aca="false">H671*I671</f>
        <v>108</v>
      </c>
      <c r="L671" s="24" t="n">
        <f aca="false">K671-H671*J671</f>
        <v>60</v>
      </c>
      <c r="M671" s="20" t="s">
        <v>50</v>
      </c>
    </row>
    <row r="672" customFormat="false" ht="15" hidden="false" customHeight="false" outlineLevel="0" collapsed="false">
      <c r="A672" s="20" t="s">
        <v>1073</v>
      </c>
      <c r="B672" s="23" t="n">
        <v>45952</v>
      </c>
      <c r="C672" s="20" t="n">
        <f aca="false">MONTH(B672)</f>
        <v>10</v>
      </c>
      <c r="D672" s="20" t="s">
        <v>296</v>
      </c>
      <c r="E672" s="20" t="s">
        <v>109</v>
      </c>
      <c r="F672" s="20" t="s">
        <v>48</v>
      </c>
      <c r="G672" s="20" t="s">
        <v>116</v>
      </c>
      <c r="H672" s="20" t="n">
        <v>4</v>
      </c>
      <c r="I672" s="24" t="n">
        <v>28</v>
      </c>
      <c r="J672" s="24" t="n">
        <v>9</v>
      </c>
      <c r="K672" s="24" t="n">
        <f aca="false">H672*I672</f>
        <v>112</v>
      </c>
      <c r="L672" s="24" t="n">
        <f aca="false">K672-H672*J672</f>
        <v>76</v>
      </c>
      <c r="M672" s="20" t="s">
        <v>50</v>
      </c>
    </row>
    <row r="673" customFormat="false" ht="15" hidden="false" customHeight="false" outlineLevel="0" collapsed="false">
      <c r="A673" s="20" t="s">
        <v>1634</v>
      </c>
      <c r="B673" s="23" t="n">
        <v>45952</v>
      </c>
      <c r="C673" s="20" t="n">
        <f aca="false">MONTH(B673)</f>
        <v>10</v>
      </c>
      <c r="D673" s="20" t="s">
        <v>58</v>
      </c>
      <c r="E673" s="20" t="s">
        <v>47</v>
      </c>
      <c r="F673" s="20" t="s">
        <v>81</v>
      </c>
      <c r="G673" s="20" t="s">
        <v>61</v>
      </c>
      <c r="H673" s="20" t="n">
        <v>1</v>
      </c>
      <c r="I673" s="24" t="n">
        <v>35</v>
      </c>
      <c r="J673" s="24" t="n">
        <v>12</v>
      </c>
      <c r="K673" s="24" t="n">
        <f aca="false">H673*I673</f>
        <v>35</v>
      </c>
      <c r="L673" s="24" t="n">
        <f aca="false">K673-H673*J673</f>
        <v>23</v>
      </c>
      <c r="M673" s="20" t="s">
        <v>50</v>
      </c>
    </row>
    <row r="674" customFormat="false" ht="15" hidden="false" customHeight="false" outlineLevel="0" collapsed="false">
      <c r="A674" s="20" t="s">
        <v>948</v>
      </c>
      <c r="B674" s="23" t="n">
        <v>45952</v>
      </c>
      <c r="C674" s="20" t="n">
        <f aca="false">MONTH(B674)</f>
        <v>10</v>
      </c>
      <c r="D674" s="20" t="s">
        <v>826</v>
      </c>
      <c r="E674" s="20" t="s">
        <v>47</v>
      </c>
      <c r="F674" s="20" t="s">
        <v>92</v>
      </c>
      <c r="G674" s="20" t="s">
        <v>93</v>
      </c>
      <c r="H674" s="20" t="n">
        <v>1</v>
      </c>
      <c r="I674" s="24" t="n">
        <v>15</v>
      </c>
      <c r="J674" s="24" t="n">
        <v>5</v>
      </c>
      <c r="K674" s="24" t="n">
        <f aca="false">H674*I674</f>
        <v>15</v>
      </c>
      <c r="L674" s="24" t="n">
        <f aca="false">K674-H674*J674</f>
        <v>10</v>
      </c>
      <c r="M674" s="20" t="s">
        <v>112</v>
      </c>
    </row>
    <row r="675" customFormat="false" ht="15" hidden="false" customHeight="false" outlineLevel="0" collapsed="false">
      <c r="A675" s="20" t="s">
        <v>1592</v>
      </c>
      <c r="B675" s="23" t="n">
        <v>45952</v>
      </c>
      <c r="C675" s="20" t="n">
        <f aca="false">MONTH(B675)</f>
        <v>10</v>
      </c>
      <c r="D675" s="20" t="s">
        <v>296</v>
      </c>
      <c r="E675" s="20" t="s">
        <v>59</v>
      </c>
      <c r="F675" s="20" t="s">
        <v>81</v>
      </c>
      <c r="G675" s="20" t="s">
        <v>82</v>
      </c>
      <c r="H675" s="20" t="n">
        <v>1</v>
      </c>
      <c r="I675" s="24" t="n">
        <v>22</v>
      </c>
      <c r="J675" s="24" t="n">
        <v>8</v>
      </c>
      <c r="K675" s="24" t="n">
        <f aca="false">H675*I675</f>
        <v>22</v>
      </c>
      <c r="L675" s="24" t="n">
        <f aca="false">K675-H675*J675</f>
        <v>14</v>
      </c>
      <c r="M675" s="20" t="s">
        <v>50</v>
      </c>
    </row>
    <row r="676" customFormat="false" ht="15" hidden="false" customHeight="false" outlineLevel="0" collapsed="false">
      <c r="A676" s="20" t="s">
        <v>837</v>
      </c>
      <c r="B676" s="23" t="n">
        <v>45952</v>
      </c>
      <c r="C676" s="20" t="n">
        <f aca="false">MONTH(B676)</f>
        <v>10</v>
      </c>
      <c r="D676" s="20" t="s">
        <v>397</v>
      </c>
      <c r="E676" s="20" t="s">
        <v>65</v>
      </c>
      <c r="F676" s="20" t="s">
        <v>48</v>
      </c>
      <c r="G676" s="20" t="s">
        <v>144</v>
      </c>
      <c r="H676" s="20" t="n">
        <v>4</v>
      </c>
      <c r="I676" s="24" t="n">
        <v>54</v>
      </c>
      <c r="J676" s="24" t="n">
        <v>24</v>
      </c>
      <c r="K676" s="24" t="n">
        <f aca="false">H676*I676</f>
        <v>216</v>
      </c>
      <c r="L676" s="24" t="n">
        <f aca="false">K676-H676*J676</f>
        <v>120</v>
      </c>
      <c r="M676" s="20" t="s">
        <v>50</v>
      </c>
    </row>
    <row r="677" customFormat="false" ht="15" hidden="false" customHeight="false" outlineLevel="0" collapsed="false">
      <c r="A677" s="20" t="s">
        <v>1298</v>
      </c>
      <c r="B677" s="23" t="n">
        <v>45952</v>
      </c>
      <c r="C677" s="20" t="n">
        <f aca="false">MONTH(B677)</f>
        <v>10</v>
      </c>
      <c r="D677" s="20" t="s">
        <v>219</v>
      </c>
      <c r="E677" s="20" t="s">
        <v>65</v>
      </c>
      <c r="F677" s="20" t="s">
        <v>81</v>
      </c>
      <c r="G677" s="20" t="s">
        <v>67</v>
      </c>
      <c r="H677" s="20" t="n">
        <v>1</v>
      </c>
      <c r="I677" s="24" t="n">
        <v>45</v>
      </c>
      <c r="J677" s="24" t="n">
        <v>17</v>
      </c>
      <c r="K677" s="24" t="n">
        <f aca="false">H677*I677</f>
        <v>45</v>
      </c>
      <c r="L677" s="24" t="n">
        <f aca="false">K677-H677*J677</f>
        <v>28</v>
      </c>
      <c r="M677" s="20" t="s">
        <v>50</v>
      </c>
    </row>
    <row r="678" customFormat="false" ht="15" hidden="false" customHeight="false" outlineLevel="0" collapsed="false">
      <c r="A678" s="20" t="s">
        <v>1601</v>
      </c>
      <c r="B678" s="23" t="n">
        <v>45953</v>
      </c>
      <c r="C678" s="20" t="n">
        <f aca="false">MONTH(B678)</f>
        <v>10</v>
      </c>
      <c r="D678" s="20" t="s">
        <v>909</v>
      </c>
      <c r="E678" s="20" t="s">
        <v>47</v>
      </c>
      <c r="F678" s="20" t="s">
        <v>92</v>
      </c>
      <c r="G678" s="20" t="s">
        <v>105</v>
      </c>
      <c r="H678" s="20" t="n">
        <v>1</v>
      </c>
      <c r="I678" s="24" t="n">
        <v>49</v>
      </c>
      <c r="J678" s="24" t="n">
        <v>22</v>
      </c>
      <c r="K678" s="24" t="n">
        <f aca="false">H678*I678</f>
        <v>49</v>
      </c>
      <c r="L678" s="24" t="n">
        <f aca="false">K678-H678*J678</f>
        <v>27</v>
      </c>
      <c r="M678" s="20" t="s">
        <v>50</v>
      </c>
    </row>
    <row r="679" customFormat="false" ht="15" hidden="false" customHeight="false" outlineLevel="0" collapsed="false">
      <c r="A679" s="20" t="s">
        <v>390</v>
      </c>
      <c r="B679" s="23" t="n">
        <v>45953</v>
      </c>
      <c r="C679" s="20" t="n">
        <f aca="false">MONTH(B679)</f>
        <v>10</v>
      </c>
      <c r="D679" s="20" t="s">
        <v>392</v>
      </c>
      <c r="E679" s="20" t="s">
        <v>47</v>
      </c>
      <c r="F679" s="20" t="s">
        <v>48</v>
      </c>
      <c r="G679" s="20" t="s">
        <v>144</v>
      </c>
      <c r="H679" s="20" t="n">
        <v>4</v>
      </c>
      <c r="I679" s="24" t="n">
        <v>54</v>
      </c>
      <c r="J679" s="24" t="n">
        <v>24</v>
      </c>
      <c r="K679" s="24" t="n">
        <f aca="false">H679*I679</f>
        <v>216</v>
      </c>
      <c r="L679" s="24" t="n">
        <f aca="false">K679-H679*J679</f>
        <v>120</v>
      </c>
      <c r="M679" s="20" t="s">
        <v>50</v>
      </c>
    </row>
    <row r="680" customFormat="false" ht="15" hidden="false" customHeight="false" outlineLevel="0" collapsed="false">
      <c r="A680" s="20" t="s">
        <v>825</v>
      </c>
      <c r="B680" s="23" t="n">
        <v>45953</v>
      </c>
      <c r="C680" s="20" t="n">
        <f aca="false">MONTH(B680)</f>
        <v>10</v>
      </c>
      <c r="D680" s="20" t="s">
        <v>826</v>
      </c>
      <c r="E680" s="20" t="s">
        <v>70</v>
      </c>
      <c r="F680" s="20" t="s">
        <v>48</v>
      </c>
      <c r="G680" s="20" t="s">
        <v>144</v>
      </c>
      <c r="H680" s="20" t="n">
        <v>1</v>
      </c>
      <c r="I680" s="24" t="n">
        <v>54</v>
      </c>
      <c r="J680" s="24" t="n">
        <v>24</v>
      </c>
      <c r="K680" s="24" t="n">
        <f aca="false">H680*I680</f>
        <v>54</v>
      </c>
      <c r="L680" s="24" t="n">
        <f aca="false">K680-H680*J680</f>
        <v>30</v>
      </c>
      <c r="M680" s="20" t="s">
        <v>50</v>
      </c>
    </row>
    <row r="681" customFormat="false" ht="15" hidden="false" customHeight="false" outlineLevel="0" collapsed="false">
      <c r="A681" s="20" t="s">
        <v>1609</v>
      </c>
      <c r="B681" s="23" t="n">
        <v>45953</v>
      </c>
      <c r="C681" s="20" t="n">
        <f aca="false">MONTH(B681)</f>
        <v>10</v>
      </c>
      <c r="D681" s="20" t="s">
        <v>380</v>
      </c>
      <c r="E681" s="20" t="s">
        <v>109</v>
      </c>
      <c r="F681" s="20" t="s">
        <v>54</v>
      </c>
      <c r="G681" s="20" t="s">
        <v>55</v>
      </c>
      <c r="H681" s="20" t="n">
        <v>1</v>
      </c>
      <c r="I681" s="24" t="n">
        <v>38</v>
      </c>
      <c r="J681" s="24" t="n">
        <v>16</v>
      </c>
      <c r="K681" s="24" t="n">
        <f aca="false">H681*I681</f>
        <v>38</v>
      </c>
      <c r="L681" s="24" t="n">
        <f aca="false">K681-H681*J681</f>
        <v>22</v>
      </c>
      <c r="M681" s="20" t="s">
        <v>50</v>
      </c>
    </row>
    <row r="682" customFormat="false" ht="15" hidden="false" customHeight="false" outlineLevel="0" collapsed="false">
      <c r="A682" s="20" t="s">
        <v>1322</v>
      </c>
      <c r="B682" s="23" t="n">
        <v>45954</v>
      </c>
      <c r="C682" s="20" t="n">
        <f aca="false">MONTH(B682)</f>
        <v>10</v>
      </c>
      <c r="D682" s="20" t="s">
        <v>161</v>
      </c>
      <c r="E682" s="20" t="s">
        <v>47</v>
      </c>
      <c r="F682" s="20" t="s">
        <v>48</v>
      </c>
      <c r="G682" s="20" t="s">
        <v>144</v>
      </c>
      <c r="H682" s="20" t="n">
        <v>1</v>
      </c>
      <c r="I682" s="24" t="n">
        <v>54</v>
      </c>
      <c r="J682" s="24" t="n">
        <v>24</v>
      </c>
      <c r="K682" s="24" t="n">
        <f aca="false">H682*I682</f>
        <v>54</v>
      </c>
      <c r="L682" s="24" t="n">
        <f aca="false">K682-H682*J682</f>
        <v>30</v>
      </c>
      <c r="M682" s="20" t="s">
        <v>50</v>
      </c>
    </row>
    <row r="683" customFormat="false" ht="15" hidden="false" customHeight="false" outlineLevel="0" collapsed="false">
      <c r="A683" s="20" t="s">
        <v>1457</v>
      </c>
      <c r="B683" s="23" t="n">
        <v>45954</v>
      </c>
      <c r="C683" s="20" t="n">
        <f aca="false">MONTH(B683)</f>
        <v>10</v>
      </c>
      <c r="D683" s="20" t="s">
        <v>300</v>
      </c>
      <c r="E683" s="20" t="s">
        <v>59</v>
      </c>
      <c r="F683" s="20" t="s">
        <v>54</v>
      </c>
      <c r="G683" s="20" t="s">
        <v>72</v>
      </c>
      <c r="H683" s="20" t="n">
        <v>1</v>
      </c>
      <c r="I683" s="24" t="n">
        <v>24</v>
      </c>
      <c r="J683" s="24" t="n">
        <v>9</v>
      </c>
      <c r="K683" s="24" t="n">
        <f aca="false">H683*I683</f>
        <v>24</v>
      </c>
      <c r="L683" s="24" t="n">
        <f aca="false">K683-H683*J683</f>
        <v>15</v>
      </c>
      <c r="M683" s="20" t="s">
        <v>50</v>
      </c>
    </row>
    <row r="684" customFormat="false" ht="15" hidden="false" customHeight="false" outlineLevel="0" collapsed="false">
      <c r="A684" s="20" t="s">
        <v>812</v>
      </c>
      <c r="B684" s="23" t="n">
        <v>45954</v>
      </c>
      <c r="C684" s="20" t="n">
        <f aca="false">MONTH(B684)</f>
        <v>10</v>
      </c>
      <c r="D684" s="20" t="s">
        <v>592</v>
      </c>
      <c r="E684" s="20" t="s">
        <v>59</v>
      </c>
      <c r="F684" s="20" t="s">
        <v>110</v>
      </c>
      <c r="G684" s="20" t="s">
        <v>111</v>
      </c>
      <c r="H684" s="20" t="n">
        <v>4</v>
      </c>
      <c r="I684" s="24" t="n">
        <v>16</v>
      </c>
      <c r="J684" s="24" t="n">
        <v>5</v>
      </c>
      <c r="K684" s="24" t="n">
        <f aca="false">H684*I684</f>
        <v>64</v>
      </c>
      <c r="L684" s="24" t="n">
        <f aca="false">K684-H684*J684</f>
        <v>44</v>
      </c>
      <c r="M684" s="20" t="s">
        <v>50</v>
      </c>
    </row>
    <row r="685" customFormat="false" ht="15" hidden="false" customHeight="false" outlineLevel="0" collapsed="false">
      <c r="A685" s="20" t="s">
        <v>761</v>
      </c>
      <c r="B685" s="23" t="n">
        <v>45954</v>
      </c>
      <c r="C685" s="20" t="n">
        <f aca="false">MONTH(B685)</f>
        <v>10</v>
      </c>
      <c r="D685" s="20" t="s">
        <v>119</v>
      </c>
      <c r="E685" s="20" t="s">
        <v>47</v>
      </c>
      <c r="F685" s="20" t="s">
        <v>110</v>
      </c>
      <c r="G685" s="20" t="s">
        <v>121</v>
      </c>
      <c r="H685" s="20" t="n">
        <v>1</v>
      </c>
      <c r="I685" s="24" t="n">
        <v>21</v>
      </c>
      <c r="J685" s="24" t="n">
        <v>7</v>
      </c>
      <c r="K685" s="24" t="n">
        <f aca="false">H685*I685</f>
        <v>21</v>
      </c>
      <c r="L685" s="24" t="n">
        <f aca="false">K685-H685*J685</f>
        <v>14</v>
      </c>
      <c r="M685" s="20" t="s">
        <v>50</v>
      </c>
    </row>
    <row r="686" customFormat="false" ht="15" hidden="false" customHeight="false" outlineLevel="0" collapsed="false">
      <c r="A686" s="20" t="s">
        <v>1480</v>
      </c>
      <c r="B686" s="23" t="n">
        <v>45954</v>
      </c>
      <c r="C686" s="20" t="n">
        <f aca="false">MONTH(B686)</f>
        <v>10</v>
      </c>
      <c r="D686" s="20" t="s">
        <v>531</v>
      </c>
      <c r="E686" s="20" t="s">
        <v>59</v>
      </c>
      <c r="F686" s="20" t="s">
        <v>81</v>
      </c>
      <c r="G686" s="20" t="s">
        <v>82</v>
      </c>
      <c r="H686" s="20" t="n">
        <v>1</v>
      </c>
      <c r="I686" s="24" t="n">
        <v>22</v>
      </c>
      <c r="J686" s="24" t="n">
        <v>8</v>
      </c>
      <c r="K686" s="24" t="n">
        <f aca="false">H686*I686</f>
        <v>22</v>
      </c>
      <c r="L686" s="24" t="n">
        <f aca="false">K686-H686*J686</f>
        <v>14</v>
      </c>
      <c r="M686" s="20" t="s">
        <v>50</v>
      </c>
    </row>
    <row r="687" customFormat="false" ht="15" hidden="false" customHeight="false" outlineLevel="0" collapsed="false">
      <c r="A687" s="20" t="s">
        <v>73</v>
      </c>
      <c r="B687" s="23" t="n">
        <v>45954</v>
      </c>
      <c r="C687" s="20" t="n">
        <f aca="false">MONTH(B687)</f>
        <v>10</v>
      </c>
      <c r="D687" s="20" t="s">
        <v>75</v>
      </c>
      <c r="E687" s="20" t="s">
        <v>59</v>
      </c>
      <c r="F687" s="20" t="s">
        <v>54</v>
      </c>
      <c r="G687" s="20" t="s">
        <v>76</v>
      </c>
      <c r="H687" s="20" t="n">
        <v>2</v>
      </c>
      <c r="I687" s="24" t="n">
        <v>32</v>
      </c>
      <c r="J687" s="24" t="n">
        <v>13</v>
      </c>
      <c r="K687" s="24" t="n">
        <f aca="false">H687*I687</f>
        <v>64</v>
      </c>
      <c r="L687" s="24" t="n">
        <f aca="false">K687-H687*J687</f>
        <v>38</v>
      </c>
      <c r="M687" s="20" t="s">
        <v>50</v>
      </c>
    </row>
    <row r="688" customFormat="false" ht="15" hidden="false" customHeight="false" outlineLevel="0" collapsed="false">
      <c r="A688" s="20" t="s">
        <v>954</v>
      </c>
      <c r="B688" s="23" t="n">
        <v>45954</v>
      </c>
      <c r="C688" s="20" t="n">
        <f aca="false">MONTH(B688)</f>
        <v>10</v>
      </c>
      <c r="D688" s="20" t="s">
        <v>186</v>
      </c>
      <c r="E688" s="20" t="s">
        <v>109</v>
      </c>
      <c r="F688" s="20" t="s">
        <v>54</v>
      </c>
      <c r="G688" s="20" t="s">
        <v>55</v>
      </c>
      <c r="H688" s="20" t="n">
        <v>1</v>
      </c>
      <c r="I688" s="24" t="n">
        <v>38</v>
      </c>
      <c r="J688" s="24" t="n">
        <v>16</v>
      </c>
      <c r="K688" s="24" t="n">
        <f aca="false">H688*I688</f>
        <v>38</v>
      </c>
      <c r="L688" s="24" t="n">
        <f aca="false">K688-H688*J688</f>
        <v>22</v>
      </c>
      <c r="M688" s="20" t="s">
        <v>50</v>
      </c>
    </row>
    <row r="689" customFormat="false" ht="15" hidden="false" customHeight="false" outlineLevel="0" collapsed="false">
      <c r="A689" s="20" t="s">
        <v>739</v>
      </c>
      <c r="B689" s="23" t="n">
        <v>45955</v>
      </c>
      <c r="C689" s="20" t="n">
        <f aca="false">MONTH(B689)</f>
        <v>10</v>
      </c>
      <c r="D689" s="20" t="s">
        <v>431</v>
      </c>
      <c r="E689" s="20" t="s">
        <v>65</v>
      </c>
      <c r="F689" s="20" t="s">
        <v>48</v>
      </c>
      <c r="G689" s="20" t="s">
        <v>116</v>
      </c>
      <c r="H689" s="20" t="n">
        <v>2</v>
      </c>
      <c r="I689" s="24" t="n">
        <v>28</v>
      </c>
      <c r="J689" s="24" t="n">
        <v>9</v>
      </c>
      <c r="K689" s="24" t="n">
        <f aca="false">H689*I689</f>
        <v>56</v>
      </c>
      <c r="L689" s="24" t="n">
        <f aca="false">K689-H689*J689</f>
        <v>38</v>
      </c>
      <c r="M689" s="20" t="s">
        <v>50</v>
      </c>
    </row>
    <row r="690" customFormat="false" ht="15" hidden="false" customHeight="false" outlineLevel="0" collapsed="false">
      <c r="A690" s="20" t="s">
        <v>1374</v>
      </c>
      <c r="B690" s="23" t="n">
        <v>45955</v>
      </c>
      <c r="C690" s="20" t="n">
        <f aca="false">MONTH(B690)</f>
        <v>10</v>
      </c>
      <c r="D690" s="20" t="s">
        <v>592</v>
      </c>
      <c r="E690" s="20" t="s">
        <v>65</v>
      </c>
      <c r="F690" s="20" t="s">
        <v>92</v>
      </c>
      <c r="G690" s="20" t="s">
        <v>196</v>
      </c>
      <c r="H690" s="20" t="n">
        <v>1</v>
      </c>
      <c r="I690" s="24" t="n">
        <v>89</v>
      </c>
      <c r="J690" s="24" t="n">
        <v>41</v>
      </c>
      <c r="K690" s="24" t="n">
        <f aca="false">H690*I690</f>
        <v>89</v>
      </c>
      <c r="L690" s="24" t="n">
        <f aca="false">K690-H690*J690</f>
        <v>48</v>
      </c>
      <c r="M690" s="20" t="s">
        <v>50</v>
      </c>
    </row>
    <row r="691" customFormat="false" ht="15" hidden="false" customHeight="false" outlineLevel="0" collapsed="false">
      <c r="A691" s="20" t="s">
        <v>1023</v>
      </c>
      <c r="B691" s="23" t="n">
        <v>45956</v>
      </c>
      <c r="C691" s="20" t="n">
        <f aca="false">MONTH(B691)</f>
        <v>10</v>
      </c>
      <c r="D691" s="20" t="s">
        <v>578</v>
      </c>
      <c r="E691" s="20" t="s">
        <v>109</v>
      </c>
      <c r="F691" s="20" t="s">
        <v>92</v>
      </c>
      <c r="G691" s="20" t="s">
        <v>105</v>
      </c>
      <c r="H691" s="20" t="n">
        <v>4</v>
      </c>
      <c r="I691" s="24" t="n">
        <v>49</v>
      </c>
      <c r="J691" s="24" t="n">
        <v>22</v>
      </c>
      <c r="K691" s="24" t="n">
        <f aca="false">H691*I691</f>
        <v>196</v>
      </c>
      <c r="L691" s="24" t="n">
        <f aca="false">K691-H691*J691</f>
        <v>108</v>
      </c>
      <c r="M691" s="20" t="s">
        <v>50</v>
      </c>
    </row>
    <row r="692" customFormat="false" ht="15" hidden="false" customHeight="false" outlineLevel="0" collapsed="false">
      <c r="A692" s="20" t="s">
        <v>1250</v>
      </c>
      <c r="B692" s="23" t="n">
        <v>45957</v>
      </c>
      <c r="C692" s="20" t="n">
        <f aca="false">MONTH(B692)</f>
        <v>10</v>
      </c>
      <c r="D692" s="20" t="s">
        <v>219</v>
      </c>
      <c r="E692" s="20" t="s">
        <v>109</v>
      </c>
      <c r="F692" s="20" t="s">
        <v>54</v>
      </c>
      <c r="G692" s="20" t="s">
        <v>55</v>
      </c>
      <c r="H692" s="20" t="n">
        <v>2</v>
      </c>
      <c r="I692" s="24" t="n">
        <v>38</v>
      </c>
      <c r="J692" s="24" t="n">
        <v>16</v>
      </c>
      <c r="K692" s="24" t="n">
        <f aca="false">H692*I692</f>
        <v>76</v>
      </c>
      <c r="L692" s="24" t="n">
        <f aca="false">K692-H692*J692</f>
        <v>44</v>
      </c>
      <c r="M692" s="20" t="s">
        <v>50</v>
      </c>
    </row>
    <row r="693" customFormat="false" ht="15" hidden="false" customHeight="false" outlineLevel="0" collapsed="false">
      <c r="A693" s="20" t="s">
        <v>753</v>
      </c>
      <c r="B693" s="23" t="n">
        <v>45962</v>
      </c>
      <c r="C693" s="20" t="n">
        <f aca="false">MONTH(B693)</f>
        <v>11</v>
      </c>
      <c r="D693" s="20" t="s">
        <v>344</v>
      </c>
      <c r="E693" s="20" t="s">
        <v>47</v>
      </c>
      <c r="F693" s="20" t="s">
        <v>92</v>
      </c>
      <c r="G693" s="20" t="s">
        <v>93</v>
      </c>
      <c r="H693" s="20" t="n">
        <v>2</v>
      </c>
      <c r="I693" s="24" t="n">
        <v>15</v>
      </c>
      <c r="J693" s="24" t="n">
        <v>5</v>
      </c>
      <c r="K693" s="24" t="n">
        <f aca="false">H693*I693</f>
        <v>30</v>
      </c>
      <c r="L693" s="24" t="n">
        <f aca="false">K693-H693*J693</f>
        <v>20</v>
      </c>
      <c r="M693" s="20" t="s">
        <v>50</v>
      </c>
    </row>
    <row r="694" customFormat="false" ht="15" hidden="false" customHeight="false" outlineLevel="0" collapsed="false">
      <c r="A694" s="20" t="s">
        <v>1391</v>
      </c>
      <c r="B694" s="23" t="n">
        <v>45962</v>
      </c>
      <c r="C694" s="20" t="n">
        <f aca="false">MONTH(B694)</f>
        <v>11</v>
      </c>
      <c r="D694" s="20" t="s">
        <v>129</v>
      </c>
      <c r="E694" s="20" t="s">
        <v>47</v>
      </c>
      <c r="F694" s="20" t="s">
        <v>110</v>
      </c>
      <c r="G694" s="20" t="s">
        <v>121</v>
      </c>
      <c r="H694" s="20" t="n">
        <v>1</v>
      </c>
      <c r="I694" s="24" t="n">
        <v>21</v>
      </c>
      <c r="J694" s="24" t="n">
        <v>7</v>
      </c>
      <c r="K694" s="24" t="n">
        <f aca="false">H694*I694</f>
        <v>21</v>
      </c>
      <c r="L694" s="24" t="n">
        <f aca="false">K694-H694*J694</f>
        <v>14</v>
      </c>
      <c r="M694" s="20" t="s">
        <v>50</v>
      </c>
    </row>
    <row r="695" customFormat="false" ht="15" hidden="false" customHeight="false" outlineLevel="0" collapsed="false">
      <c r="A695" s="20" t="s">
        <v>1354</v>
      </c>
      <c r="B695" s="23" t="n">
        <v>45963</v>
      </c>
      <c r="C695" s="20" t="n">
        <f aca="false">MONTH(B695)</f>
        <v>11</v>
      </c>
      <c r="D695" s="20" t="s">
        <v>494</v>
      </c>
      <c r="E695" s="20" t="s">
        <v>47</v>
      </c>
      <c r="F695" s="20" t="s">
        <v>48</v>
      </c>
      <c r="G695" s="20" t="s">
        <v>116</v>
      </c>
      <c r="H695" s="20" t="n">
        <v>4</v>
      </c>
      <c r="I695" s="24" t="n">
        <v>28</v>
      </c>
      <c r="J695" s="24" t="n">
        <v>9</v>
      </c>
      <c r="K695" s="24" t="n">
        <f aca="false">H695*I695</f>
        <v>112</v>
      </c>
      <c r="L695" s="24" t="n">
        <f aca="false">K695-H695*J695</f>
        <v>76</v>
      </c>
      <c r="M695" s="20" t="s">
        <v>50</v>
      </c>
    </row>
    <row r="696" customFormat="false" ht="15" hidden="false" customHeight="false" outlineLevel="0" collapsed="false">
      <c r="A696" s="20" t="s">
        <v>152</v>
      </c>
      <c r="B696" s="23" t="n">
        <v>45963</v>
      </c>
      <c r="C696" s="20" t="n">
        <f aca="false">MONTH(B696)</f>
        <v>11</v>
      </c>
      <c r="D696" s="20" t="s">
        <v>153</v>
      </c>
      <c r="E696" s="20" t="s">
        <v>47</v>
      </c>
      <c r="F696" s="20" t="s">
        <v>81</v>
      </c>
      <c r="G696" s="20" t="s">
        <v>82</v>
      </c>
      <c r="H696" s="20" t="n">
        <v>1</v>
      </c>
      <c r="I696" s="24" t="n">
        <v>22</v>
      </c>
      <c r="J696" s="24" t="n">
        <v>8</v>
      </c>
      <c r="K696" s="24" t="n">
        <f aca="false">H696*I696</f>
        <v>22</v>
      </c>
      <c r="L696" s="24" t="n">
        <f aca="false">K696-H696*J696</f>
        <v>14</v>
      </c>
      <c r="M696" s="20" t="s">
        <v>50</v>
      </c>
    </row>
    <row r="697" customFormat="false" ht="15" hidden="false" customHeight="false" outlineLevel="0" collapsed="false">
      <c r="A697" s="20" t="s">
        <v>626</v>
      </c>
      <c r="B697" s="23" t="n">
        <v>45963</v>
      </c>
      <c r="C697" s="20" t="n">
        <f aca="false">MONTH(B697)</f>
        <v>11</v>
      </c>
      <c r="D697" s="20" t="s">
        <v>442</v>
      </c>
      <c r="E697" s="20" t="s">
        <v>70</v>
      </c>
      <c r="F697" s="20" t="s">
        <v>54</v>
      </c>
      <c r="G697" s="20" t="s">
        <v>55</v>
      </c>
      <c r="H697" s="20" t="n">
        <v>3</v>
      </c>
      <c r="I697" s="24" t="n">
        <v>38</v>
      </c>
      <c r="J697" s="24" t="n">
        <v>16</v>
      </c>
      <c r="K697" s="24" t="n">
        <f aca="false">H697*I697</f>
        <v>114</v>
      </c>
      <c r="L697" s="24" t="n">
        <f aca="false">K697-H697*J697</f>
        <v>66</v>
      </c>
      <c r="M697" s="20" t="s">
        <v>112</v>
      </c>
    </row>
    <row r="698" customFormat="false" ht="15" hidden="false" customHeight="false" outlineLevel="0" collapsed="false">
      <c r="A698" s="20" t="s">
        <v>568</v>
      </c>
      <c r="B698" s="23" t="n">
        <v>45963</v>
      </c>
      <c r="C698" s="20" t="n">
        <f aca="false">MONTH(B698)</f>
        <v>11</v>
      </c>
      <c r="D698" s="20" t="s">
        <v>570</v>
      </c>
      <c r="E698" s="20" t="s">
        <v>47</v>
      </c>
      <c r="F698" s="20" t="s">
        <v>48</v>
      </c>
      <c r="G698" s="20" t="s">
        <v>116</v>
      </c>
      <c r="H698" s="20" t="n">
        <v>2</v>
      </c>
      <c r="I698" s="24" t="n">
        <v>28</v>
      </c>
      <c r="J698" s="24" t="n">
        <v>9</v>
      </c>
      <c r="K698" s="24" t="n">
        <f aca="false">H698*I698</f>
        <v>56</v>
      </c>
      <c r="L698" s="24" t="n">
        <f aca="false">K698-H698*J698</f>
        <v>38</v>
      </c>
      <c r="M698" s="20" t="s">
        <v>50</v>
      </c>
    </row>
    <row r="699" customFormat="false" ht="15" hidden="false" customHeight="false" outlineLevel="0" collapsed="false">
      <c r="A699" s="20" t="s">
        <v>1604</v>
      </c>
      <c r="B699" s="23" t="n">
        <v>45963</v>
      </c>
      <c r="C699" s="20" t="n">
        <f aca="false">MONTH(B699)</f>
        <v>11</v>
      </c>
      <c r="D699" s="20" t="s">
        <v>286</v>
      </c>
      <c r="E699" s="20" t="s">
        <v>70</v>
      </c>
      <c r="F699" s="20" t="s">
        <v>54</v>
      </c>
      <c r="G699" s="20" t="s">
        <v>55</v>
      </c>
      <c r="H699" s="20" t="n">
        <v>2</v>
      </c>
      <c r="I699" s="24" t="n">
        <v>38</v>
      </c>
      <c r="J699" s="24" t="n">
        <v>16</v>
      </c>
      <c r="K699" s="24" t="n">
        <f aca="false">H699*I699</f>
        <v>76</v>
      </c>
      <c r="L699" s="24" t="n">
        <f aca="false">K699-H699*J699</f>
        <v>44</v>
      </c>
      <c r="M699" s="20" t="s">
        <v>50</v>
      </c>
    </row>
    <row r="700" customFormat="false" ht="15" hidden="false" customHeight="false" outlineLevel="0" collapsed="false">
      <c r="A700" s="20" t="s">
        <v>692</v>
      </c>
      <c r="B700" s="23" t="n">
        <v>45963</v>
      </c>
      <c r="C700" s="20" t="n">
        <f aca="false">MONTH(B700)</f>
        <v>11</v>
      </c>
      <c r="D700" s="20" t="s">
        <v>100</v>
      </c>
      <c r="E700" s="20" t="s">
        <v>70</v>
      </c>
      <c r="F700" s="20" t="s">
        <v>54</v>
      </c>
      <c r="G700" s="20" t="s">
        <v>76</v>
      </c>
      <c r="H700" s="20" t="n">
        <v>2</v>
      </c>
      <c r="I700" s="24" t="n">
        <v>32</v>
      </c>
      <c r="J700" s="24" t="n">
        <v>13</v>
      </c>
      <c r="K700" s="24" t="n">
        <f aca="false">H700*I700</f>
        <v>64</v>
      </c>
      <c r="L700" s="24" t="n">
        <f aca="false">K700-H700*J700</f>
        <v>38</v>
      </c>
      <c r="M700" s="20" t="s">
        <v>50</v>
      </c>
    </row>
    <row r="701" customFormat="false" ht="15" hidden="false" customHeight="false" outlineLevel="0" collapsed="false">
      <c r="A701" s="20" t="s">
        <v>1478</v>
      </c>
      <c r="B701" s="23" t="n">
        <v>45963</v>
      </c>
      <c r="C701" s="20" t="n">
        <f aca="false">MONTH(B701)</f>
        <v>11</v>
      </c>
      <c r="D701" s="20" t="s">
        <v>258</v>
      </c>
      <c r="E701" s="20" t="s">
        <v>47</v>
      </c>
      <c r="F701" s="20" t="s">
        <v>54</v>
      </c>
      <c r="G701" s="20" t="s">
        <v>55</v>
      </c>
      <c r="H701" s="20" t="n">
        <v>1</v>
      </c>
      <c r="I701" s="24" t="n">
        <v>38</v>
      </c>
      <c r="J701" s="24" t="n">
        <v>16</v>
      </c>
      <c r="K701" s="24" t="n">
        <f aca="false">H701*I701</f>
        <v>38</v>
      </c>
      <c r="L701" s="24" t="n">
        <f aca="false">K701-H701*J701</f>
        <v>22</v>
      </c>
      <c r="M701" s="20" t="s">
        <v>50</v>
      </c>
    </row>
    <row r="702" customFormat="false" ht="15" hidden="false" customHeight="false" outlineLevel="0" collapsed="false">
      <c r="A702" s="20" t="s">
        <v>512</v>
      </c>
      <c r="B702" s="23" t="n">
        <v>45964</v>
      </c>
      <c r="C702" s="20" t="n">
        <f aca="false">MONTH(B702)</f>
        <v>11</v>
      </c>
      <c r="D702" s="20" t="s">
        <v>375</v>
      </c>
      <c r="E702" s="20" t="s">
        <v>47</v>
      </c>
      <c r="F702" s="20" t="s">
        <v>92</v>
      </c>
      <c r="G702" s="20" t="s">
        <v>93</v>
      </c>
      <c r="H702" s="20" t="n">
        <v>1</v>
      </c>
      <c r="I702" s="24" t="n">
        <v>15</v>
      </c>
      <c r="J702" s="24" t="n">
        <v>5</v>
      </c>
      <c r="K702" s="24" t="n">
        <f aca="false">H702*I702</f>
        <v>15</v>
      </c>
      <c r="L702" s="24" t="n">
        <f aca="false">K702-H702*J702</f>
        <v>10</v>
      </c>
      <c r="M702" s="20" t="s">
        <v>50</v>
      </c>
    </row>
    <row r="703" customFormat="false" ht="15" hidden="false" customHeight="false" outlineLevel="0" collapsed="false">
      <c r="A703" s="20" t="s">
        <v>498</v>
      </c>
      <c r="B703" s="23" t="n">
        <v>45964</v>
      </c>
      <c r="C703" s="20" t="n">
        <f aca="false">MONTH(B703)</f>
        <v>11</v>
      </c>
      <c r="D703" s="20" t="s">
        <v>291</v>
      </c>
      <c r="E703" s="20" t="s">
        <v>47</v>
      </c>
      <c r="F703" s="20" t="s">
        <v>81</v>
      </c>
      <c r="G703" s="20" t="s">
        <v>67</v>
      </c>
      <c r="H703" s="20" t="n">
        <v>1</v>
      </c>
      <c r="I703" s="24" t="n">
        <v>45</v>
      </c>
      <c r="J703" s="24" t="n">
        <v>17</v>
      </c>
      <c r="K703" s="24" t="n">
        <f aca="false">H703*I703</f>
        <v>45</v>
      </c>
      <c r="L703" s="24" t="n">
        <f aca="false">K703-H703*J703</f>
        <v>28</v>
      </c>
      <c r="M703" s="20" t="s">
        <v>50</v>
      </c>
    </row>
    <row r="704" customFormat="false" ht="15" hidden="false" customHeight="false" outlineLevel="0" collapsed="false">
      <c r="A704" s="20" t="s">
        <v>1038</v>
      </c>
      <c r="B704" s="23" t="n">
        <v>45964</v>
      </c>
      <c r="C704" s="20" t="n">
        <f aca="false">MONTH(B704)</f>
        <v>11</v>
      </c>
      <c r="D704" s="20" t="s">
        <v>719</v>
      </c>
      <c r="E704" s="20" t="s">
        <v>59</v>
      </c>
      <c r="F704" s="20" t="s">
        <v>81</v>
      </c>
      <c r="G704" s="20" t="s">
        <v>61</v>
      </c>
      <c r="H704" s="20" t="n">
        <v>1</v>
      </c>
      <c r="I704" s="24" t="n">
        <v>35</v>
      </c>
      <c r="J704" s="24" t="n">
        <v>12</v>
      </c>
      <c r="K704" s="24" t="n">
        <f aca="false">H704*I704</f>
        <v>35</v>
      </c>
      <c r="L704" s="24" t="n">
        <f aca="false">K704-H704*J704</f>
        <v>23</v>
      </c>
      <c r="M704" s="20" t="s">
        <v>50</v>
      </c>
    </row>
    <row r="705" customFormat="false" ht="15" hidden="false" customHeight="false" outlineLevel="0" collapsed="false">
      <c r="A705" s="20" t="s">
        <v>474</v>
      </c>
      <c r="B705" s="23" t="n">
        <v>45964</v>
      </c>
      <c r="C705" s="20" t="n">
        <f aca="false">MONTH(B705)</f>
        <v>11</v>
      </c>
      <c r="D705" s="20" t="s">
        <v>476</v>
      </c>
      <c r="E705" s="20" t="s">
        <v>47</v>
      </c>
      <c r="F705" s="20" t="s">
        <v>54</v>
      </c>
      <c r="G705" s="20" t="s">
        <v>72</v>
      </c>
      <c r="H705" s="20" t="n">
        <v>1</v>
      </c>
      <c r="I705" s="24" t="n">
        <v>24</v>
      </c>
      <c r="J705" s="24" t="n">
        <v>9</v>
      </c>
      <c r="K705" s="24" t="n">
        <f aca="false">H705*I705</f>
        <v>24</v>
      </c>
      <c r="L705" s="24" t="n">
        <f aca="false">K705-H705*J705</f>
        <v>15</v>
      </c>
      <c r="M705" s="20" t="s">
        <v>50</v>
      </c>
    </row>
    <row r="706" customFormat="false" ht="15" hidden="false" customHeight="false" outlineLevel="0" collapsed="false">
      <c r="A706" s="20" t="s">
        <v>1214</v>
      </c>
      <c r="B706" s="23" t="n">
        <v>45965</v>
      </c>
      <c r="C706" s="20" t="n">
        <f aca="false">MONTH(B706)</f>
        <v>11</v>
      </c>
      <c r="D706" s="20" t="s">
        <v>377</v>
      </c>
      <c r="E706" s="20" t="s">
        <v>65</v>
      </c>
      <c r="F706" s="20" t="s">
        <v>110</v>
      </c>
      <c r="G706" s="20" t="s">
        <v>236</v>
      </c>
      <c r="H706" s="20" t="n">
        <v>2</v>
      </c>
      <c r="I706" s="24" t="n">
        <v>30</v>
      </c>
      <c r="J706" s="24" t="n">
        <v>11</v>
      </c>
      <c r="K706" s="24" t="n">
        <f aca="false">H706*I706</f>
        <v>60</v>
      </c>
      <c r="L706" s="24" t="n">
        <f aca="false">K706-H706*J706</f>
        <v>38</v>
      </c>
      <c r="M706" s="20" t="s">
        <v>50</v>
      </c>
    </row>
    <row r="707" customFormat="false" ht="15" hidden="false" customHeight="false" outlineLevel="0" collapsed="false">
      <c r="A707" s="20" t="s">
        <v>365</v>
      </c>
      <c r="B707" s="23" t="n">
        <v>45965</v>
      </c>
      <c r="C707" s="20" t="n">
        <f aca="false">MONTH(B707)</f>
        <v>11</v>
      </c>
      <c r="D707" s="20" t="s">
        <v>367</v>
      </c>
      <c r="E707" s="20" t="s">
        <v>65</v>
      </c>
      <c r="F707" s="20" t="s">
        <v>92</v>
      </c>
      <c r="G707" s="20" t="s">
        <v>105</v>
      </c>
      <c r="H707" s="20" t="n">
        <v>1</v>
      </c>
      <c r="I707" s="24" t="n">
        <v>49</v>
      </c>
      <c r="J707" s="24" t="n">
        <v>22</v>
      </c>
      <c r="K707" s="24" t="n">
        <f aca="false">H707*I707</f>
        <v>49</v>
      </c>
      <c r="L707" s="24" t="n">
        <f aca="false">K707-H707*J707</f>
        <v>27</v>
      </c>
      <c r="M707" s="20" t="s">
        <v>50</v>
      </c>
    </row>
    <row r="708" customFormat="false" ht="15" hidden="false" customHeight="false" outlineLevel="0" collapsed="false">
      <c r="A708" s="20" t="s">
        <v>1182</v>
      </c>
      <c r="B708" s="23" t="n">
        <v>45966</v>
      </c>
      <c r="C708" s="20" t="n">
        <f aca="false">MONTH(B708)</f>
        <v>11</v>
      </c>
      <c r="D708" s="20" t="s">
        <v>548</v>
      </c>
      <c r="E708" s="20" t="s">
        <v>47</v>
      </c>
      <c r="F708" s="20" t="s">
        <v>110</v>
      </c>
      <c r="G708" s="20" t="s">
        <v>111</v>
      </c>
      <c r="H708" s="20" t="n">
        <v>2</v>
      </c>
      <c r="I708" s="24" t="n">
        <v>16</v>
      </c>
      <c r="J708" s="24" t="n">
        <v>5</v>
      </c>
      <c r="K708" s="24" t="n">
        <f aca="false">H708*I708</f>
        <v>32</v>
      </c>
      <c r="L708" s="24" t="n">
        <f aca="false">K708-H708*J708</f>
        <v>22</v>
      </c>
      <c r="M708" s="20" t="s">
        <v>50</v>
      </c>
    </row>
    <row r="709" customFormat="false" ht="15" hidden="false" customHeight="false" outlineLevel="0" collapsed="false">
      <c r="A709" s="20" t="s">
        <v>1047</v>
      </c>
      <c r="B709" s="23" t="n">
        <v>45966</v>
      </c>
      <c r="C709" s="20" t="n">
        <f aca="false">MONTH(B709)</f>
        <v>11</v>
      </c>
      <c r="D709" s="20" t="s">
        <v>357</v>
      </c>
      <c r="E709" s="20" t="s">
        <v>59</v>
      </c>
      <c r="F709" s="20" t="s">
        <v>92</v>
      </c>
      <c r="G709" s="20" t="s">
        <v>196</v>
      </c>
      <c r="H709" s="20" t="n">
        <v>1</v>
      </c>
      <c r="I709" s="24" t="n">
        <v>89</v>
      </c>
      <c r="J709" s="24" t="n">
        <v>41</v>
      </c>
      <c r="K709" s="24" t="n">
        <f aca="false">H709*I709</f>
        <v>89</v>
      </c>
      <c r="L709" s="24" t="n">
        <f aca="false">K709-H709*J709</f>
        <v>48</v>
      </c>
      <c r="M709" s="20" t="s">
        <v>50</v>
      </c>
    </row>
    <row r="710" customFormat="false" ht="15" hidden="false" customHeight="false" outlineLevel="0" collapsed="false">
      <c r="A710" s="20" t="s">
        <v>1574</v>
      </c>
      <c r="B710" s="23" t="n">
        <v>45967</v>
      </c>
      <c r="C710" s="20" t="n">
        <f aca="false">MONTH(B710)</f>
        <v>11</v>
      </c>
      <c r="D710" s="20" t="s">
        <v>104</v>
      </c>
      <c r="E710" s="20" t="s">
        <v>65</v>
      </c>
      <c r="F710" s="20" t="s">
        <v>81</v>
      </c>
      <c r="G710" s="20" t="s">
        <v>61</v>
      </c>
      <c r="H710" s="20" t="n">
        <v>2</v>
      </c>
      <c r="I710" s="24" t="n">
        <v>35</v>
      </c>
      <c r="J710" s="24" t="n">
        <v>12</v>
      </c>
      <c r="K710" s="24" t="n">
        <f aca="false">H710*I710</f>
        <v>70</v>
      </c>
      <c r="L710" s="24" t="n">
        <f aca="false">K710-H710*J710</f>
        <v>46</v>
      </c>
      <c r="M710" s="20" t="s">
        <v>50</v>
      </c>
    </row>
    <row r="711" customFormat="false" ht="15" hidden="false" customHeight="false" outlineLevel="0" collapsed="false">
      <c r="A711" s="20" t="s">
        <v>452</v>
      </c>
      <c r="B711" s="23" t="n">
        <v>45967</v>
      </c>
      <c r="C711" s="20" t="n">
        <f aca="false">MONTH(B711)</f>
        <v>11</v>
      </c>
      <c r="D711" s="20" t="s">
        <v>219</v>
      </c>
      <c r="E711" s="20" t="s">
        <v>59</v>
      </c>
      <c r="F711" s="20" t="s">
        <v>81</v>
      </c>
      <c r="G711" s="20" t="s">
        <v>67</v>
      </c>
      <c r="H711" s="20" t="n">
        <v>1</v>
      </c>
      <c r="I711" s="24" t="n">
        <v>45</v>
      </c>
      <c r="J711" s="24" t="n">
        <v>17</v>
      </c>
      <c r="K711" s="24" t="n">
        <f aca="false">H711*I711</f>
        <v>45</v>
      </c>
      <c r="L711" s="24" t="n">
        <f aca="false">K711-H711*J711</f>
        <v>28</v>
      </c>
      <c r="M711" s="20" t="s">
        <v>50</v>
      </c>
    </row>
    <row r="712" customFormat="false" ht="15" hidden="false" customHeight="false" outlineLevel="0" collapsed="false">
      <c r="A712" s="20" t="s">
        <v>1459</v>
      </c>
      <c r="B712" s="23" t="n">
        <v>45967</v>
      </c>
      <c r="C712" s="20" t="n">
        <f aca="false">MONTH(B712)</f>
        <v>11</v>
      </c>
      <c r="D712" s="20" t="s">
        <v>801</v>
      </c>
      <c r="E712" s="20" t="s">
        <v>47</v>
      </c>
      <c r="F712" s="20" t="s">
        <v>110</v>
      </c>
      <c r="G712" s="20" t="s">
        <v>111</v>
      </c>
      <c r="H712" s="20" t="n">
        <v>1</v>
      </c>
      <c r="I712" s="24" t="n">
        <v>16</v>
      </c>
      <c r="J712" s="24" t="n">
        <v>5</v>
      </c>
      <c r="K712" s="24" t="n">
        <f aca="false">H712*I712</f>
        <v>16</v>
      </c>
      <c r="L712" s="24" t="n">
        <f aca="false">K712-H712*J712</f>
        <v>11</v>
      </c>
      <c r="M712" s="20" t="s">
        <v>50</v>
      </c>
    </row>
    <row r="713" customFormat="false" ht="15" hidden="false" customHeight="false" outlineLevel="0" collapsed="false">
      <c r="A713" s="20" t="s">
        <v>1648</v>
      </c>
      <c r="B713" s="23" t="n">
        <v>45967</v>
      </c>
      <c r="C713" s="20" t="n">
        <f aca="false">MONTH(B713)</f>
        <v>11</v>
      </c>
      <c r="D713" s="20" t="s">
        <v>412</v>
      </c>
      <c r="E713" s="20" t="s">
        <v>109</v>
      </c>
      <c r="F713" s="20" t="s">
        <v>110</v>
      </c>
      <c r="G713" s="20" t="s">
        <v>111</v>
      </c>
      <c r="H713" s="20" t="n">
        <v>1</v>
      </c>
      <c r="I713" s="24" t="n">
        <v>16</v>
      </c>
      <c r="J713" s="24" t="n">
        <v>5</v>
      </c>
      <c r="K713" s="24" t="n">
        <f aca="false">H713*I713</f>
        <v>16</v>
      </c>
      <c r="L713" s="24" t="n">
        <f aca="false">K713-H713*J713</f>
        <v>11</v>
      </c>
      <c r="M713" s="20" t="s">
        <v>50</v>
      </c>
    </row>
    <row r="714" customFormat="false" ht="15" hidden="false" customHeight="false" outlineLevel="0" collapsed="false">
      <c r="A714" s="20" t="s">
        <v>1351</v>
      </c>
      <c r="B714" s="23" t="n">
        <v>45968</v>
      </c>
      <c r="C714" s="20" t="n">
        <f aca="false">MONTH(B714)</f>
        <v>11</v>
      </c>
      <c r="D714" s="20" t="s">
        <v>431</v>
      </c>
      <c r="E714" s="20" t="s">
        <v>59</v>
      </c>
      <c r="F714" s="20" t="s">
        <v>81</v>
      </c>
      <c r="G714" s="20" t="s">
        <v>67</v>
      </c>
      <c r="H714" s="20" t="n">
        <v>2</v>
      </c>
      <c r="I714" s="24" t="n">
        <v>45</v>
      </c>
      <c r="J714" s="24" t="n">
        <v>17</v>
      </c>
      <c r="K714" s="24" t="n">
        <f aca="false">H714*I714</f>
        <v>90</v>
      </c>
      <c r="L714" s="24" t="n">
        <f aca="false">K714-H714*J714</f>
        <v>56</v>
      </c>
      <c r="M714" s="20" t="s">
        <v>50</v>
      </c>
    </row>
    <row r="715" customFormat="false" ht="15" hidden="false" customHeight="false" outlineLevel="0" collapsed="false">
      <c r="A715" s="20" t="s">
        <v>1147</v>
      </c>
      <c r="B715" s="23" t="n">
        <v>45968</v>
      </c>
      <c r="C715" s="20" t="n">
        <f aca="false">MONTH(B715)</f>
        <v>11</v>
      </c>
      <c r="D715" s="20" t="s">
        <v>570</v>
      </c>
      <c r="E715" s="20" t="s">
        <v>47</v>
      </c>
      <c r="F715" s="20" t="s">
        <v>48</v>
      </c>
      <c r="G715" s="20" t="s">
        <v>116</v>
      </c>
      <c r="H715" s="20" t="n">
        <v>3</v>
      </c>
      <c r="I715" s="24" t="n">
        <v>28</v>
      </c>
      <c r="J715" s="24" t="n">
        <v>9</v>
      </c>
      <c r="K715" s="24" t="n">
        <f aca="false">H715*I715</f>
        <v>84</v>
      </c>
      <c r="L715" s="24" t="n">
        <f aca="false">K715-H715*J715</f>
        <v>57</v>
      </c>
      <c r="M715" s="20" t="s">
        <v>112</v>
      </c>
    </row>
    <row r="716" customFormat="false" ht="15" hidden="false" customHeight="false" outlineLevel="0" collapsed="false">
      <c r="A716" s="20" t="s">
        <v>1195</v>
      </c>
      <c r="B716" s="23" t="n">
        <v>45968</v>
      </c>
      <c r="C716" s="20" t="n">
        <f aca="false">MONTH(B716)</f>
        <v>11</v>
      </c>
      <c r="D716" s="20" t="s">
        <v>1197</v>
      </c>
      <c r="E716" s="20" t="s">
        <v>59</v>
      </c>
      <c r="F716" s="20" t="s">
        <v>48</v>
      </c>
      <c r="G716" s="20" t="s">
        <v>116</v>
      </c>
      <c r="H716" s="20" t="n">
        <v>1</v>
      </c>
      <c r="I716" s="24" t="n">
        <v>28</v>
      </c>
      <c r="J716" s="24" t="n">
        <v>9</v>
      </c>
      <c r="K716" s="24" t="n">
        <f aca="false">H716*I716</f>
        <v>28</v>
      </c>
      <c r="L716" s="24" t="n">
        <f aca="false">K716-H716*J716</f>
        <v>19</v>
      </c>
      <c r="M716" s="20" t="s">
        <v>50</v>
      </c>
    </row>
    <row r="717" customFormat="false" ht="15" hidden="false" customHeight="false" outlineLevel="0" collapsed="false">
      <c r="A717" s="20" t="s">
        <v>935</v>
      </c>
      <c r="B717" s="23" t="n">
        <v>45969</v>
      </c>
      <c r="C717" s="20" t="n">
        <f aca="false">MONTH(B717)</f>
        <v>11</v>
      </c>
      <c r="D717" s="20" t="s">
        <v>592</v>
      </c>
      <c r="E717" s="20" t="s">
        <v>47</v>
      </c>
      <c r="F717" s="20" t="s">
        <v>48</v>
      </c>
      <c r="G717" s="20" t="s">
        <v>116</v>
      </c>
      <c r="H717" s="20" t="n">
        <v>3</v>
      </c>
      <c r="I717" s="24" t="n">
        <v>28</v>
      </c>
      <c r="J717" s="24" t="n">
        <v>9</v>
      </c>
      <c r="K717" s="24" t="n">
        <f aca="false">H717*I717</f>
        <v>84</v>
      </c>
      <c r="L717" s="24" t="n">
        <f aca="false">K717-H717*J717</f>
        <v>57</v>
      </c>
      <c r="M717" s="20" t="s">
        <v>50</v>
      </c>
    </row>
    <row r="718" customFormat="false" ht="15" hidden="false" customHeight="false" outlineLevel="0" collapsed="false">
      <c r="A718" s="20" t="s">
        <v>1273</v>
      </c>
      <c r="B718" s="23" t="n">
        <v>45969</v>
      </c>
      <c r="C718" s="20" t="n">
        <f aca="false">MONTH(B718)</f>
        <v>11</v>
      </c>
      <c r="D718" s="20" t="s">
        <v>675</v>
      </c>
      <c r="E718" s="20" t="s">
        <v>47</v>
      </c>
      <c r="F718" s="20" t="s">
        <v>81</v>
      </c>
      <c r="G718" s="20" t="s">
        <v>61</v>
      </c>
      <c r="H718" s="20" t="n">
        <v>2</v>
      </c>
      <c r="I718" s="24" t="n">
        <v>35</v>
      </c>
      <c r="J718" s="24" t="n">
        <v>12</v>
      </c>
      <c r="K718" s="24" t="n">
        <f aca="false">H718*I718</f>
        <v>70</v>
      </c>
      <c r="L718" s="24" t="n">
        <f aca="false">K718-H718*J718</f>
        <v>46</v>
      </c>
      <c r="M718" s="20" t="s">
        <v>50</v>
      </c>
    </row>
    <row r="719" customFormat="false" ht="15" hidden="false" customHeight="false" outlineLevel="0" collapsed="false">
      <c r="A719" s="20" t="s">
        <v>1089</v>
      </c>
      <c r="B719" s="23" t="n">
        <v>45970</v>
      </c>
      <c r="C719" s="20" t="n">
        <f aca="false">MONTH(B719)</f>
        <v>11</v>
      </c>
      <c r="D719" s="20" t="s">
        <v>1091</v>
      </c>
      <c r="E719" s="20" t="s">
        <v>109</v>
      </c>
      <c r="F719" s="20" t="s">
        <v>48</v>
      </c>
      <c r="G719" s="20" t="s">
        <v>49</v>
      </c>
      <c r="H719" s="20" t="n">
        <v>3</v>
      </c>
      <c r="I719" s="24" t="n">
        <v>18</v>
      </c>
      <c r="J719" s="24" t="n">
        <v>5</v>
      </c>
      <c r="K719" s="24" t="n">
        <f aca="false">H719*I719</f>
        <v>54</v>
      </c>
      <c r="L719" s="24" t="n">
        <f aca="false">K719-H719*J719</f>
        <v>39</v>
      </c>
      <c r="M719" s="20" t="s">
        <v>50</v>
      </c>
    </row>
    <row r="720" customFormat="false" ht="15" hidden="false" customHeight="false" outlineLevel="0" collapsed="false">
      <c r="A720" s="20" t="s">
        <v>1246</v>
      </c>
      <c r="B720" s="23" t="n">
        <v>45970</v>
      </c>
      <c r="C720" s="20" t="n">
        <f aca="false">MONTH(B720)</f>
        <v>11</v>
      </c>
      <c r="D720" s="20" t="s">
        <v>402</v>
      </c>
      <c r="E720" s="20" t="s">
        <v>47</v>
      </c>
      <c r="F720" s="20" t="s">
        <v>110</v>
      </c>
      <c r="G720" s="20" t="s">
        <v>111</v>
      </c>
      <c r="H720" s="20" t="n">
        <v>2</v>
      </c>
      <c r="I720" s="24" t="n">
        <v>16</v>
      </c>
      <c r="J720" s="24" t="n">
        <v>5</v>
      </c>
      <c r="K720" s="24" t="n">
        <f aca="false">H720*I720</f>
        <v>32</v>
      </c>
      <c r="L720" s="24" t="n">
        <f aca="false">K720-H720*J720</f>
        <v>22</v>
      </c>
      <c r="M720" s="20" t="s">
        <v>50</v>
      </c>
    </row>
    <row r="721" customFormat="false" ht="15" hidden="false" customHeight="false" outlineLevel="0" collapsed="false">
      <c r="A721" s="20" t="s">
        <v>370</v>
      </c>
      <c r="B721" s="23" t="n">
        <v>45970</v>
      </c>
      <c r="C721" s="20" t="n">
        <f aca="false">MONTH(B721)</f>
        <v>11</v>
      </c>
      <c r="D721" s="20" t="s">
        <v>286</v>
      </c>
      <c r="E721" s="20" t="s">
        <v>47</v>
      </c>
      <c r="F721" s="20" t="s">
        <v>110</v>
      </c>
      <c r="G721" s="20" t="s">
        <v>121</v>
      </c>
      <c r="H721" s="20" t="n">
        <v>2</v>
      </c>
      <c r="I721" s="24" t="n">
        <v>21</v>
      </c>
      <c r="J721" s="24" t="n">
        <v>7</v>
      </c>
      <c r="K721" s="24" t="n">
        <f aca="false">H721*I721</f>
        <v>42</v>
      </c>
      <c r="L721" s="24" t="n">
        <f aca="false">K721-H721*J721</f>
        <v>28</v>
      </c>
      <c r="M721" s="20" t="s">
        <v>50</v>
      </c>
    </row>
    <row r="722" customFormat="false" ht="15" hidden="false" customHeight="false" outlineLevel="0" collapsed="false">
      <c r="A722" s="20" t="s">
        <v>1433</v>
      </c>
      <c r="B722" s="23" t="n">
        <v>45970</v>
      </c>
      <c r="C722" s="20" t="n">
        <f aca="false">MONTH(B722)</f>
        <v>11</v>
      </c>
      <c r="D722" s="20" t="s">
        <v>457</v>
      </c>
      <c r="E722" s="20" t="s">
        <v>59</v>
      </c>
      <c r="F722" s="20" t="s">
        <v>110</v>
      </c>
      <c r="G722" s="20" t="s">
        <v>236</v>
      </c>
      <c r="H722" s="20" t="n">
        <v>1</v>
      </c>
      <c r="I722" s="24" t="n">
        <v>30</v>
      </c>
      <c r="J722" s="24" t="n">
        <v>11</v>
      </c>
      <c r="K722" s="24" t="n">
        <f aca="false">H722*I722</f>
        <v>30</v>
      </c>
      <c r="L722" s="24" t="n">
        <f aca="false">K722-H722*J722</f>
        <v>19</v>
      </c>
      <c r="M722" s="20" t="s">
        <v>50</v>
      </c>
    </row>
    <row r="723" customFormat="false" ht="15" hidden="false" customHeight="false" outlineLevel="0" collapsed="false">
      <c r="A723" s="20" t="s">
        <v>1491</v>
      </c>
      <c r="B723" s="23" t="n">
        <v>45970</v>
      </c>
      <c r="C723" s="20" t="n">
        <f aca="false">MONTH(B723)</f>
        <v>11</v>
      </c>
      <c r="D723" s="20" t="s">
        <v>296</v>
      </c>
      <c r="E723" s="20" t="s">
        <v>47</v>
      </c>
      <c r="F723" s="20" t="s">
        <v>81</v>
      </c>
      <c r="G723" s="20" t="s">
        <v>82</v>
      </c>
      <c r="H723" s="20" t="n">
        <v>3</v>
      </c>
      <c r="I723" s="24" t="n">
        <v>22</v>
      </c>
      <c r="J723" s="24" t="n">
        <v>8</v>
      </c>
      <c r="K723" s="24" t="n">
        <f aca="false">H723*I723</f>
        <v>66</v>
      </c>
      <c r="L723" s="24" t="n">
        <f aca="false">K723-H723*J723</f>
        <v>42</v>
      </c>
      <c r="M723" s="20" t="s">
        <v>50</v>
      </c>
    </row>
    <row r="724" customFormat="false" ht="15" hidden="false" customHeight="false" outlineLevel="0" collapsed="false">
      <c r="A724" s="20" t="s">
        <v>1639</v>
      </c>
      <c r="B724" s="23" t="n">
        <v>45971</v>
      </c>
      <c r="C724" s="20" t="n">
        <f aca="false">MONTH(B724)</f>
        <v>11</v>
      </c>
      <c r="D724" s="20" t="s">
        <v>552</v>
      </c>
      <c r="E724" s="20" t="s">
        <v>65</v>
      </c>
      <c r="F724" s="20" t="s">
        <v>92</v>
      </c>
      <c r="G724" s="20" t="s">
        <v>93</v>
      </c>
      <c r="H724" s="20" t="n">
        <v>2</v>
      </c>
      <c r="I724" s="24" t="n">
        <v>15</v>
      </c>
      <c r="J724" s="24" t="n">
        <v>5</v>
      </c>
      <c r="K724" s="24" t="n">
        <f aca="false">H724*I724</f>
        <v>30</v>
      </c>
      <c r="L724" s="24" t="n">
        <f aca="false">K724-H724*J724</f>
        <v>20</v>
      </c>
      <c r="M724" s="20" t="s">
        <v>50</v>
      </c>
    </row>
    <row r="725" customFormat="false" ht="15" hidden="false" customHeight="false" outlineLevel="0" collapsed="false">
      <c r="A725" s="20" t="s">
        <v>1649</v>
      </c>
      <c r="B725" s="23" t="n">
        <v>45971</v>
      </c>
      <c r="C725" s="20" t="n">
        <f aca="false">MONTH(B725)</f>
        <v>11</v>
      </c>
      <c r="D725" s="20" t="s">
        <v>377</v>
      </c>
      <c r="E725" s="20" t="s">
        <v>59</v>
      </c>
      <c r="F725" s="20" t="s">
        <v>92</v>
      </c>
      <c r="G725" s="20" t="s">
        <v>93</v>
      </c>
      <c r="H725" s="20" t="n">
        <v>3</v>
      </c>
      <c r="I725" s="24" t="n">
        <v>15</v>
      </c>
      <c r="J725" s="24" t="n">
        <v>5</v>
      </c>
      <c r="K725" s="24" t="n">
        <f aca="false">H725*I725</f>
        <v>45</v>
      </c>
      <c r="L725" s="24" t="n">
        <f aca="false">K725-H725*J725</f>
        <v>30</v>
      </c>
      <c r="M725" s="20" t="s">
        <v>50</v>
      </c>
    </row>
    <row r="726" customFormat="false" ht="15" hidden="false" customHeight="false" outlineLevel="0" collapsed="false">
      <c r="A726" s="20" t="s">
        <v>1113</v>
      </c>
      <c r="B726" s="23" t="n">
        <v>45971</v>
      </c>
      <c r="C726" s="20" t="n">
        <f aca="false">MONTH(B726)</f>
        <v>11</v>
      </c>
      <c r="D726" s="20" t="s">
        <v>464</v>
      </c>
      <c r="E726" s="20" t="s">
        <v>109</v>
      </c>
      <c r="F726" s="20" t="s">
        <v>48</v>
      </c>
      <c r="G726" s="20" t="s">
        <v>116</v>
      </c>
      <c r="H726" s="20" t="n">
        <v>2</v>
      </c>
      <c r="I726" s="24" t="n">
        <v>28</v>
      </c>
      <c r="J726" s="24" t="n">
        <v>9</v>
      </c>
      <c r="K726" s="24" t="n">
        <f aca="false">H726*I726</f>
        <v>56</v>
      </c>
      <c r="L726" s="24" t="n">
        <f aca="false">K726-H726*J726</f>
        <v>38</v>
      </c>
      <c r="M726" s="20" t="s">
        <v>50</v>
      </c>
    </row>
    <row r="727" customFormat="false" ht="15" hidden="false" customHeight="false" outlineLevel="0" collapsed="false">
      <c r="A727" s="20" t="s">
        <v>413</v>
      </c>
      <c r="B727" s="23" t="n">
        <v>45971</v>
      </c>
      <c r="C727" s="20" t="n">
        <f aca="false">MONTH(B727)</f>
        <v>11</v>
      </c>
      <c r="D727" s="20" t="s">
        <v>415</v>
      </c>
      <c r="E727" s="20" t="s">
        <v>70</v>
      </c>
      <c r="F727" s="20" t="s">
        <v>48</v>
      </c>
      <c r="G727" s="20" t="s">
        <v>116</v>
      </c>
      <c r="H727" s="20" t="n">
        <v>2</v>
      </c>
      <c r="I727" s="24" t="n">
        <v>28</v>
      </c>
      <c r="J727" s="24" t="n">
        <v>9</v>
      </c>
      <c r="K727" s="24" t="n">
        <f aca="false">H727*I727</f>
        <v>56</v>
      </c>
      <c r="L727" s="24" t="n">
        <f aca="false">K727-H727*J727</f>
        <v>38</v>
      </c>
      <c r="M727" s="20" t="s">
        <v>50</v>
      </c>
    </row>
    <row r="728" customFormat="false" ht="15" hidden="false" customHeight="false" outlineLevel="0" collapsed="false">
      <c r="A728" s="20" t="s">
        <v>1181</v>
      </c>
      <c r="B728" s="23" t="n">
        <v>45972</v>
      </c>
      <c r="C728" s="20" t="n">
        <f aca="false">MONTH(B728)</f>
        <v>11</v>
      </c>
      <c r="D728" s="20" t="s">
        <v>338</v>
      </c>
      <c r="E728" s="20" t="s">
        <v>59</v>
      </c>
      <c r="F728" s="20" t="s">
        <v>92</v>
      </c>
      <c r="G728" s="20" t="s">
        <v>196</v>
      </c>
      <c r="H728" s="20" t="n">
        <v>2</v>
      </c>
      <c r="I728" s="24" t="n">
        <v>89</v>
      </c>
      <c r="J728" s="24" t="n">
        <v>41</v>
      </c>
      <c r="K728" s="24" t="n">
        <f aca="false">H728*I728</f>
        <v>178</v>
      </c>
      <c r="L728" s="24" t="n">
        <f aca="false">K728-H728*J728</f>
        <v>96</v>
      </c>
      <c r="M728" s="20" t="s">
        <v>50</v>
      </c>
    </row>
    <row r="729" customFormat="false" ht="15" hidden="false" customHeight="false" outlineLevel="0" collapsed="false">
      <c r="A729" s="20" t="s">
        <v>1099</v>
      </c>
      <c r="B729" s="23" t="n">
        <v>45972</v>
      </c>
      <c r="C729" s="20" t="n">
        <f aca="false">MONTH(B729)</f>
        <v>11</v>
      </c>
      <c r="D729" s="20" t="s">
        <v>447</v>
      </c>
      <c r="E729" s="20" t="s">
        <v>59</v>
      </c>
      <c r="F729" s="20" t="s">
        <v>92</v>
      </c>
      <c r="G729" s="20" t="s">
        <v>196</v>
      </c>
      <c r="H729" s="20" t="n">
        <v>1</v>
      </c>
      <c r="I729" s="24" t="n">
        <v>89</v>
      </c>
      <c r="J729" s="24" t="n">
        <v>41</v>
      </c>
      <c r="K729" s="24" t="n">
        <f aca="false">H729*I729</f>
        <v>89</v>
      </c>
      <c r="L729" s="24" t="n">
        <f aca="false">K729-H729*J729</f>
        <v>48</v>
      </c>
      <c r="M729" s="20" t="s">
        <v>50</v>
      </c>
    </row>
    <row r="730" customFormat="false" ht="15" hidden="false" customHeight="false" outlineLevel="0" collapsed="false">
      <c r="A730" s="20" t="s">
        <v>1611</v>
      </c>
      <c r="B730" s="23" t="n">
        <v>45972</v>
      </c>
      <c r="C730" s="20" t="n">
        <f aca="false">MONTH(B730)</f>
        <v>11</v>
      </c>
      <c r="D730" s="20" t="s">
        <v>923</v>
      </c>
      <c r="E730" s="20" t="s">
        <v>70</v>
      </c>
      <c r="F730" s="20" t="s">
        <v>81</v>
      </c>
      <c r="G730" s="20" t="s">
        <v>67</v>
      </c>
      <c r="H730" s="20" t="n">
        <v>1</v>
      </c>
      <c r="I730" s="24" t="n">
        <v>45</v>
      </c>
      <c r="J730" s="24" t="n">
        <v>17</v>
      </c>
      <c r="K730" s="24" t="n">
        <f aca="false">H730*I730</f>
        <v>45</v>
      </c>
      <c r="L730" s="24" t="n">
        <f aca="false">K730-H730*J730</f>
        <v>28</v>
      </c>
      <c r="M730" s="20" t="s">
        <v>50</v>
      </c>
    </row>
    <row r="731" customFormat="false" ht="15" hidden="false" customHeight="false" outlineLevel="0" collapsed="false">
      <c r="A731" s="20" t="s">
        <v>1371</v>
      </c>
      <c r="B731" s="23" t="n">
        <v>45972</v>
      </c>
      <c r="C731" s="20" t="n">
        <f aca="false">MONTH(B731)</f>
        <v>11</v>
      </c>
      <c r="D731" s="20" t="s">
        <v>125</v>
      </c>
      <c r="E731" s="20" t="s">
        <v>70</v>
      </c>
      <c r="F731" s="20" t="s">
        <v>81</v>
      </c>
      <c r="G731" s="20" t="s">
        <v>67</v>
      </c>
      <c r="H731" s="20" t="n">
        <v>2</v>
      </c>
      <c r="I731" s="24" t="n">
        <v>45</v>
      </c>
      <c r="J731" s="24" t="n">
        <v>17</v>
      </c>
      <c r="K731" s="24" t="n">
        <f aca="false">H731*I731</f>
        <v>90</v>
      </c>
      <c r="L731" s="24" t="n">
        <f aca="false">K731-H731*J731</f>
        <v>56</v>
      </c>
      <c r="M731" s="20" t="s">
        <v>50</v>
      </c>
    </row>
    <row r="732" customFormat="false" ht="15" hidden="false" customHeight="false" outlineLevel="0" collapsed="false">
      <c r="A732" s="20" t="s">
        <v>1470</v>
      </c>
      <c r="B732" s="23" t="n">
        <v>45973</v>
      </c>
      <c r="C732" s="20" t="n">
        <f aca="false">MONTH(B732)</f>
        <v>11</v>
      </c>
      <c r="D732" s="20" t="s">
        <v>115</v>
      </c>
      <c r="E732" s="20" t="s">
        <v>65</v>
      </c>
      <c r="F732" s="20" t="s">
        <v>54</v>
      </c>
      <c r="G732" s="20" t="s">
        <v>72</v>
      </c>
      <c r="H732" s="20" t="n">
        <v>1</v>
      </c>
      <c r="I732" s="24" t="n">
        <v>24</v>
      </c>
      <c r="J732" s="24" t="n">
        <v>9</v>
      </c>
      <c r="K732" s="24" t="n">
        <f aca="false">H732*I732</f>
        <v>24</v>
      </c>
      <c r="L732" s="24" t="n">
        <f aca="false">K732-H732*J732</f>
        <v>15</v>
      </c>
      <c r="M732" s="20" t="s">
        <v>50</v>
      </c>
    </row>
    <row r="733" customFormat="false" ht="15" hidden="false" customHeight="false" outlineLevel="0" collapsed="false">
      <c r="A733" s="20" t="s">
        <v>1521</v>
      </c>
      <c r="B733" s="23" t="n">
        <v>45973</v>
      </c>
      <c r="C733" s="20" t="n">
        <f aca="false">MONTH(B733)</f>
        <v>11</v>
      </c>
      <c r="D733" s="20" t="s">
        <v>161</v>
      </c>
      <c r="E733" s="20" t="s">
        <v>70</v>
      </c>
      <c r="F733" s="20" t="s">
        <v>92</v>
      </c>
      <c r="G733" s="20" t="s">
        <v>105</v>
      </c>
      <c r="H733" s="20" t="n">
        <v>3</v>
      </c>
      <c r="I733" s="24" t="n">
        <v>49</v>
      </c>
      <c r="J733" s="24" t="n">
        <v>22</v>
      </c>
      <c r="K733" s="24" t="n">
        <f aca="false">H733*I733</f>
        <v>147</v>
      </c>
      <c r="L733" s="24" t="n">
        <f aca="false">K733-H733*J733</f>
        <v>81</v>
      </c>
      <c r="M733" s="20" t="s">
        <v>50</v>
      </c>
    </row>
    <row r="734" customFormat="false" ht="15" hidden="false" customHeight="false" outlineLevel="0" collapsed="false">
      <c r="A734" s="20" t="s">
        <v>1213</v>
      </c>
      <c r="B734" s="23" t="n">
        <v>45973</v>
      </c>
      <c r="C734" s="20" t="n">
        <f aca="false">MONTH(B734)</f>
        <v>11</v>
      </c>
      <c r="D734" s="20" t="s">
        <v>402</v>
      </c>
      <c r="E734" s="20" t="s">
        <v>47</v>
      </c>
      <c r="F734" s="20" t="s">
        <v>92</v>
      </c>
      <c r="G734" s="20" t="s">
        <v>105</v>
      </c>
      <c r="H734" s="20" t="n">
        <v>3</v>
      </c>
      <c r="I734" s="24" t="n">
        <v>49</v>
      </c>
      <c r="J734" s="24" t="n">
        <v>22</v>
      </c>
      <c r="K734" s="24" t="n">
        <f aca="false">H734*I734</f>
        <v>147</v>
      </c>
      <c r="L734" s="24" t="n">
        <f aca="false">K734-H734*J734</f>
        <v>81</v>
      </c>
      <c r="M734" s="20" t="s">
        <v>50</v>
      </c>
    </row>
    <row r="735" customFormat="false" ht="15" hidden="false" customHeight="false" outlineLevel="0" collapsed="false">
      <c r="A735" s="20" t="s">
        <v>906</v>
      </c>
      <c r="B735" s="23" t="n">
        <v>45973</v>
      </c>
      <c r="C735" s="20" t="n">
        <f aca="false">MONTH(B735)</f>
        <v>11</v>
      </c>
      <c r="D735" s="20" t="s">
        <v>826</v>
      </c>
      <c r="E735" s="20" t="s">
        <v>59</v>
      </c>
      <c r="F735" s="20" t="s">
        <v>110</v>
      </c>
      <c r="G735" s="20" t="s">
        <v>111</v>
      </c>
      <c r="H735" s="20" t="n">
        <v>1</v>
      </c>
      <c r="I735" s="24" t="n">
        <v>16</v>
      </c>
      <c r="J735" s="24" t="n">
        <v>5</v>
      </c>
      <c r="K735" s="24" t="n">
        <f aca="false">H735*I735</f>
        <v>16</v>
      </c>
      <c r="L735" s="24" t="n">
        <f aca="false">K735-H735*J735</f>
        <v>11</v>
      </c>
      <c r="M735" s="20" t="s">
        <v>50</v>
      </c>
    </row>
    <row r="736" customFormat="false" ht="15" hidden="false" customHeight="false" outlineLevel="0" collapsed="false">
      <c r="A736" s="20" t="s">
        <v>1251</v>
      </c>
      <c r="B736" s="23" t="n">
        <v>45973</v>
      </c>
      <c r="C736" s="20" t="n">
        <f aca="false">MONTH(B736)</f>
        <v>11</v>
      </c>
      <c r="D736" s="20" t="s">
        <v>214</v>
      </c>
      <c r="E736" s="20" t="s">
        <v>70</v>
      </c>
      <c r="F736" s="20" t="s">
        <v>92</v>
      </c>
      <c r="G736" s="20" t="s">
        <v>105</v>
      </c>
      <c r="H736" s="20" t="n">
        <v>3</v>
      </c>
      <c r="I736" s="24" t="n">
        <v>49</v>
      </c>
      <c r="J736" s="24" t="n">
        <v>22</v>
      </c>
      <c r="K736" s="24" t="n">
        <f aca="false">H736*I736</f>
        <v>147</v>
      </c>
      <c r="L736" s="24" t="n">
        <f aca="false">K736-H736*J736</f>
        <v>81</v>
      </c>
      <c r="M736" s="20" t="s">
        <v>50</v>
      </c>
    </row>
    <row r="737" customFormat="false" ht="15" hidden="false" customHeight="false" outlineLevel="0" collapsed="false">
      <c r="A737" s="20" t="s">
        <v>606</v>
      </c>
      <c r="B737" s="23" t="n">
        <v>45973</v>
      </c>
      <c r="C737" s="20" t="n">
        <f aca="false">MONTH(B737)</f>
        <v>11</v>
      </c>
      <c r="D737" s="20" t="s">
        <v>80</v>
      </c>
      <c r="E737" s="20" t="s">
        <v>47</v>
      </c>
      <c r="F737" s="20" t="s">
        <v>81</v>
      </c>
      <c r="G737" s="20" t="s">
        <v>82</v>
      </c>
      <c r="H737" s="20" t="n">
        <v>2</v>
      </c>
      <c r="I737" s="24" t="n">
        <v>22</v>
      </c>
      <c r="J737" s="24" t="n">
        <v>8</v>
      </c>
      <c r="K737" s="24" t="n">
        <f aca="false">H737*I737</f>
        <v>44</v>
      </c>
      <c r="L737" s="24" t="n">
        <f aca="false">K737-H737*J737</f>
        <v>28</v>
      </c>
      <c r="M737" s="20" t="s">
        <v>50</v>
      </c>
    </row>
    <row r="738" customFormat="false" ht="15" hidden="false" customHeight="false" outlineLevel="0" collapsed="false">
      <c r="A738" s="20" t="s">
        <v>1401</v>
      </c>
      <c r="B738" s="23" t="n">
        <v>45974</v>
      </c>
      <c r="C738" s="20" t="n">
        <f aca="false">MONTH(B738)</f>
        <v>11</v>
      </c>
      <c r="D738" s="20" t="s">
        <v>437</v>
      </c>
      <c r="E738" s="20" t="s">
        <v>59</v>
      </c>
      <c r="F738" s="20" t="s">
        <v>92</v>
      </c>
      <c r="G738" s="20" t="s">
        <v>105</v>
      </c>
      <c r="H738" s="20" t="n">
        <v>3</v>
      </c>
      <c r="I738" s="24" t="n">
        <v>49</v>
      </c>
      <c r="J738" s="24" t="n">
        <v>22</v>
      </c>
      <c r="K738" s="24" t="n">
        <f aca="false">H738*I738</f>
        <v>147</v>
      </c>
      <c r="L738" s="24" t="n">
        <f aca="false">K738-H738*J738</f>
        <v>81</v>
      </c>
      <c r="M738" s="20" t="s">
        <v>50</v>
      </c>
    </row>
    <row r="739" customFormat="false" ht="15" hidden="false" customHeight="false" outlineLevel="0" collapsed="false">
      <c r="A739" s="20" t="s">
        <v>975</v>
      </c>
      <c r="B739" s="23" t="n">
        <v>45974</v>
      </c>
      <c r="C739" s="20" t="n">
        <f aca="false">MONTH(B739)</f>
        <v>11</v>
      </c>
      <c r="D739" s="20" t="s">
        <v>624</v>
      </c>
      <c r="E739" s="20" t="s">
        <v>109</v>
      </c>
      <c r="F739" s="20" t="s">
        <v>48</v>
      </c>
      <c r="G739" s="20" t="s">
        <v>144</v>
      </c>
      <c r="H739" s="20" t="n">
        <v>1</v>
      </c>
      <c r="I739" s="24" t="n">
        <v>54</v>
      </c>
      <c r="J739" s="24" t="n">
        <v>24</v>
      </c>
      <c r="K739" s="24" t="n">
        <f aca="false">H739*I739</f>
        <v>54</v>
      </c>
      <c r="L739" s="24" t="n">
        <f aca="false">K739-H739*J739</f>
        <v>30</v>
      </c>
      <c r="M739" s="20" t="s">
        <v>112</v>
      </c>
    </row>
    <row r="740" customFormat="false" ht="15" hidden="false" customHeight="false" outlineLevel="0" collapsed="false">
      <c r="A740" s="20" t="s">
        <v>1077</v>
      </c>
      <c r="B740" s="23" t="n">
        <v>45975</v>
      </c>
      <c r="C740" s="20" t="n">
        <f aca="false">MONTH(B740)</f>
        <v>11</v>
      </c>
      <c r="D740" s="20" t="s">
        <v>578</v>
      </c>
      <c r="E740" s="20" t="s">
        <v>59</v>
      </c>
      <c r="F740" s="20" t="s">
        <v>81</v>
      </c>
      <c r="G740" s="20" t="s">
        <v>82</v>
      </c>
      <c r="H740" s="20" t="n">
        <v>1</v>
      </c>
      <c r="I740" s="24" t="n">
        <v>22</v>
      </c>
      <c r="J740" s="24" t="n">
        <v>8</v>
      </c>
      <c r="K740" s="24" t="n">
        <f aca="false">H740*I740</f>
        <v>22</v>
      </c>
      <c r="L740" s="24" t="n">
        <f aca="false">K740-H740*J740</f>
        <v>14</v>
      </c>
      <c r="M740" s="20" t="s">
        <v>50</v>
      </c>
    </row>
    <row r="741" customFormat="false" ht="15" hidden="false" customHeight="false" outlineLevel="0" collapsed="false">
      <c r="A741" s="20" t="s">
        <v>523</v>
      </c>
      <c r="B741" s="23" t="n">
        <v>45975</v>
      </c>
      <c r="C741" s="20" t="n">
        <f aca="false">MONTH(B741)</f>
        <v>11</v>
      </c>
      <c r="D741" s="20" t="s">
        <v>344</v>
      </c>
      <c r="E741" s="20" t="s">
        <v>47</v>
      </c>
      <c r="F741" s="20" t="s">
        <v>92</v>
      </c>
      <c r="G741" s="20" t="s">
        <v>93</v>
      </c>
      <c r="H741" s="20" t="n">
        <v>2</v>
      </c>
      <c r="I741" s="24" t="n">
        <v>15</v>
      </c>
      <c r="J741" s="24" t="n">
        <v>5</v>
      </c>
      <c r="K741" s="24" t="n">
        <f aca="false">H741*I741</f>
        <v>30</v>
      </c>
      <c r="L741" s="24" t="n">
        <f aca="false">K741-H741*J741</f>
        <v>20</v>
      </c>
      <c r="M741" s="20" t="s">
        <v>50</v>
      </c>
    </row>
    <row r="742" customFormat="false" ht="15" hidden="false" customHeight="false" outlineLevel="0" collapsed="false">
      <c r="A742" s="20" t="s">
        <v>848</v>
      </c>
      <c r="B742" s="23" t="n">
        <v>45975</v>
      </c>
      <c r="C742" s="20" t="n">
        <f aca="false">MONTH(B742)</f>
        <v>11</v>
      </c>
      <c r="D742" s="20" t="s">
        <v>348</v>
      </c>
      <c r="E742" s="20" t="s">
        <v>65</v>
      </c>
      <c r="F742" s="20" t="s">
        <v>92</v>
      </c>
      <c r="G742" s="20" t="s">
        <v>196</v>
      </c>
      <c r="H742" s="20" t="n">
        <v>4</v>
      </c>
      <c r="I742" s="24" t="n">
        <v>89</v>
      </c>
      <c r="J742" s="24" t="n">
        <v>41</v>
      </c>
      <c r="K742" s="24" t="n">
        <f aca="false">H742*I742</f>
        <v>356</v>
      </c>
      <c r="L742" s="24" t="n">
        <f aca="false">K742-H742*J742</f>
        <v>192</v>
      </c>
      <c r="M742" s="20" t="s">
        <v>50</v>
      </c>
    </row>
    <row r="743" customFormat="false" ht="15" hidden="false" customHeight="false" outlineLevel="0" collapsed="false">
      <c r="A743" s="20" t="s">
        <v>763</v>
      </c>
      <c r="B743" s="23" t="n">
        <v>45975</v>
      </c>
      <c r="C743" s="20" t="n">
        <f aca="false">MONTH(B743)</f>
        <v>11</v>
      </c>
      <c r="D743" s="20" t="s">
        <v>483</v>
      </c>
      <c r="E743" s="20" t="s">
        <v>47</v>
      </c>
      <c r="F743" s="20" t="s">
        <v>110</v>
      </c>
      <c r="G743" s="20" t="s">
        <v>111</v>
      </c>
      <c r="H743" s="20" t="n">
        <v>2</v>
      </c>
      <c r="I743" s="24" t="n">
        <v>16</v>
      </c>
      <c r="J743" s="24" t="n">
        <v>5</v>
      </c>
      <c r="K743" s="24" t="n">
        <f aca="false">H743*I743</f>
        <v>32</v>
      </c>
      <c r="L743" s="24" t="n">
        <f aca="false">K743-H743*J743</f>
        <v>22</v>
      </c>
      <c r="M743" s="20" t="s">
        <v>50</v>
      </c>
    </row>
    <row r="744" customFormat="false" ht="15" hidden="false" customHeight="false" outlineLevel="0" collapsed="false">
      <c r="A744" s="20" t="s">
        <v>400</v>
      </c>
      <c r="B744" s="23" t="n">
        <v>45975</v>
      </c>
      <c r="C744" s="20" t="n">
        <f aca="false">MONTH(B744)</f>
        <v>11</v>
      </c>
      <c r="D744" s="20" t="s">
        <v>402</v>
      </c>
      <c r="E744" s="20" t="s">
        <v>65</v>
      </c>
      <c r="F744" s="20" t="s">
        <v>54</v>
      </c>
      <c r="G744" s="20" t="s">
        <v>55</v>
      </c>
      <c r="H744" s="20" t="n">
        <v>1</v>
      </c>
      <c r="I744" s="24" t="n">
        <v>38</v>
      </c>
      <c r="J744" s="24" t="n">
        <v>16</v>
      </c>
      <c r="K744" s="24" t="n">
        <f aca="false">H744*I744</f>
        <v>38</v>
      </c>
      <c r="L744" s="24" t="n">
        <f aca="false">K744-H744*J744</f>
        <v>22</v>
      </c>
      <c r="M744" s="20" t="s">
        <v>50</v>
      </c>
    </row>
    <row r="745" customFormat="false" ht="15" hidden="false" customHeight="false" outlineLevel="0" collapsed="false">
      <c r="A745" s="20" t="s">
        <v>1024</v>
      </c>
      <c r="B745" s="23" t="n">
        <v>45975</v>
      </c>
      <c r="C745" s="20" t="n">
        <f aca="false">MONTH(B745)</f>
        <v>11</v>
      </c>
      <c r="D745" s="20" t="s">
        <v>1025</v>
      </c>
      <c r="E745" s="20" t="s">
        <v>47</v>
      </c>
      <c r="F745" s="20" t="s">
        <v>81</v>
      </c>
      <c r="G745" s="20" t="s">
        <v>82</v>
      </c>
      <c r="H745" s="20" t="n">
        <v>1</v>
      </c>
      <c r="I745" s="24" t="n">
        <v>22</v>
      </c>
      <c r="J745" s="24" t="n">
        <v>8</v>
      </c>
      <c r="K745" s="24" t="n">
        <f aca="false">H745*I745</f>
        <v>22</v>
      </c>
      <c r="L745" s="24" t="n">
        <f aca="false">K745-H745*J745</f>
        <v>14</v>
      </c>
      <c r="M745" s="20" t="s">
        <v>50</v>
      </c>
    </row>
    <row r="746" customFormat="false" ht="15" hidden="false" customHeight="false" outlineLevel="0" collapsed="false">
      <c r="A746" s="20" t="s">
        <v>1303</v>
      </c>
      <c r="B746" s="23" t="n">
        <v>45976</v>
      </c>
      <c r="C746" s="20" t="n">
        <f aca="false">MONTH(B746)</f>
        <v>11</v>
      </c>
      <c r="D746" s="20" t="s">
        <v>214</v>
      </c>
      <c r="E746" s="20" t="s">
        <v>109</v>
      </c>
      <c r="F746" s="20" t="s">
        <v>48</v>
      </c>
      <c r="G746" s="20" t="s">
        <v>144</v>
      </c>
      <c r="H746" s="20" t="n">
        <v>3</v>
      </c>
      <c r="I746" s="24" t="n">
        <v>54</v>
      </c>
      <c r="J746" s="24" t="n">
        <v>24</v>
      </c>
      <c r="K746" s="24" t="n">
        <f aca="false">H746*I746</f>
        <v>162</v>
      </c>
      <c r="L746" s="24" t="n">
        <f aca="false">K746-H746*J746</f>
        <v>90</v>
      </c>
      <c r="M746" s="20" t="s">
        <v>50</v>
      </c>
    </row>
    <row r="747" customFormat="false" ht="15" hidden="false" customHeight="false" outlineLevel="0" collapsed="false">
      <c r="A747" s="20" t="s">
        <v>205</v>
      </c>
      <c r="B747" s="23" t="n">
        <v>45976</v>
      </c>
      <c r="C747" s="20" t="n">
        <f aca="false">MONTH(B747)</f>
        <v>11</v>
      </c>
      <c r="D747" s="20" t="s">
        <v>100</v>
      </c>
      <c r="E747" s="20" t="s">
        <v>65</v>
      </c>
      <c r="F747" s="20" t="s">
        <v>92</v>
      </c>
      <c r="G747" s="20" t="s">
        <v>105</v>
      </c>
      <c r="H747" s="20" t="n">
        <v>1</v>
      </c>
      <c r="I747" s="24" t="n">
        <v>49</v>
      </c>
      <c r="J747" s="24" t="n">
        <v>22</v>
      </c>
      <c r="K747" s="24" t="n">
        <f aca="false">H747*I747</f>
        <v>49</v>
      </c>
      <c r="L747" s="24" t="n">
        <f aca="false">K747-H747*J747</f>
        <v>27</v>
      </c>
      <c r="M747" s="20" t="s">
        <v>50</v>
      </c>
    </row>
    <row r="748" customFormat="false" ht="15" hidden="false" customHeight="false" outlineLevel="0" collapsed="false">
      <c r="A748" s="20" t="s">
        <v>1320</v>
      </c>
      <c r="B748" s="23" t="n">
        <v>45976</v>
      </c>
      <c r="C748" s="20" t="n">
        <f aca="false">MONTH(B748)</f>
        <v>11</v>
      </c>
      <c r="D748" s="20" t="s">
        <v>357</v>
      </c>
      <c r="E748" s="20" t="s">
        <v>109</v>
      </c>
      <c r="F748" s="20" t="s">
        <v>92</v>
      </c>
      <c r="G748" s="20" t="s">
        <v>105</v>
      </c>
      <c r="H748" s="20" t="n">
        <v>1</v>
      </c>
      <c r="I748" s="24" t="n">
        <v>49</v>
      </c>
      <c r="J748" s="24" t="n">
        <v>22</v>
      </c>
      <c r="K748" s="24" t="n">
        <f aca="false">H748*I748</f>
        <v>49</v>
      </c>
      <c r="L748" s="24" t="n">
        <f aca="false">K748-H748*J748</f>
        <v>27</v>
      </c>
      <c r="M748" s="20" t="s">
        <v>50</v>
      </c>
    </row>
    <row r="749" customFormat="false" ht="15" hidden="false" customHeight="false" outlineLevel="0" collapsed="false">
      <c r="A749" s="20" t="s">
        <v>1096</v>
      </c>
      <c r="B749" s="23" t="n">
        <v>45976</v>
      </c>
      <c r="C749" s="20" t="n">
        <f aca="false">MONTH(B749)</f>
        <v>11</v>
      </c>
      <c r="D749" s="20" t="s">
        <v>447</v>
      </c>
      <c r="E749" s="20" t="s">
        <v>47</v>
      </c>
      <c r="F749" s="20" t="s">
        <v>110</v>
      </c>
      <c r="G749" s="20" t="s">
        <v>236</v>
      </c>
      <c r="H749" s="20" t="n">
        <v>3</v>
      </c>
      <c r="I749" s="24" t="n">
        <v>30</v>
      </c>
      <c r="J749" s="24" t="n">
        <v>11</v>
      </c>
      <c r="K749" s="24" t="n">
        <f aca="false">H749*I749</f>
        <v>90</v>
      </c>
      <c r="L749" s="24" t="n">
        <f aca="false">K749-H749*J749</f>
        <v>57</v>
      </c>
      <c r="M749" s="20" t="s">
        <v>50</v>
      </c>
    </row>
    <row r="750" customFormat="false" ht="15" hidden="false" customHeight="false" outlineLevel="0" collapsed="false">
      <c r="A750" s="20" t="s">
        <v>1504</v>
      </c>
      <c r="B750" s="23" t="n">
        <v>45977</v>
      </c>
      <c r="C750" s="20" t="n">
        <f aca="false">MONTH(B750)</f>
        <v>11</v>
      </c>
      <c r="D750" s="20" t="s">
        <v>578</v>
      </c>
      <c r="E750" s="20" t="s">
        <v>65</v>
      </c>
      <c r="F750" s="20" t="s">
        <v>81</v>
      </c>
      <c r="G750" s="20" t="s">
        <v>67</v>
      </c>
      <c r="H750" s="20" t="n">
        <v>2</v>
      </c>
      <c r="I750" s="24" t="n">
        <v>45</v>
      </c>
      <c r="J750" s="24" t="n">
        <v>17</v>
      </c>
      <c r="K750" s="24" t="n">
        <f aca="false">H750*I750</f>
        <v>90</v>
      </c>
      <c r="L750" s="24" t="n">
        <f aca="false">K750-H750*J750</f>
        <v>56</v>
      </c>
      <c r="M750" s="20" t="s">
        <v>50</v>
      </c>
    </row>
    <row r="751" customFormat="false" ht="15" hidden="false" customHeight="false" outlineLevel="0" collapsed="false">
      <c r="A751" s="20" t="s">
        <v>426</v>
      </c>
      <c r="B751" s="23" t="n">
        <v>45978</v>
      </c>
      <c r="C751" s="20" t="n">
        <f aca="false">MONTH(B751)</f>
        <v>11</v>
      </c>
      <c r="D751" s="20" t="s">
        <v>428</v>
      </c>
      <c r="E751" s="20" t="s">
        <v>47</v>
      </c>
      <c r="F751" s="20" t="s">
        <v>48</v>
      </c>
      <c r="G751" s="20" t="s">
        <v>144</v>
      </c>
      <c r="H751" s="20" t="n">
        <v>1</v>
      </c>
      <c r="I751" s="24" t="n">
        <v>54</v>
      </c>
      <c r="J751" s="24" t="n">
        <v>24</v>
      </c>
      <c r="K751" s="24" t="n">
        <f aca="false">H751*I751</f>
        <v>54</v>
      </c>
      <c r="L751" s="24" t="n">
        <f aca="false">K751-H751*J751</f>
        <v>30</v>
      </c>
      <c r="M751" s="20" t="s">
        <v>50</v>
      </c>
    </row>
    <row r="752" customFormat="false" ht="15" hidden="false" customHeight="false" outlineLevel="0" collapsed="false">
      <c r="A752" s="20" t="s">
        <v>1360</v>
      </c>
      <c r="B752" s="23" t="n">
        <v>45978</v>
      </c>
      <c r="C752" s="20" t="n">
        <f aca="false">MONTH(B752)</f>
        <v>11</v>
      </c>
      <c r="D752" s="20" t="s">
        <v>286</v>
      </c>
      <c r="E752" s="20" t="s">
        <v>59</v>
      </c>
      <c r="F752" s="20" t="s">
        <v>54</v>
      </c>
      <c r="G752" s="20" t="s">
        <v>72</v>
      </c>
      <c r="H752" s="20" t="n">
        <v>2</v>
      </c>
      <c r="I752" s="24" t="n">
        <v>24</v>
      </c>
      <c r="J752" s="24" t="n">
        <v>9</v>
      </c>
      <c r="K752" s="24" t="n">
        <f aca="false">H752*I752</f>
        <v>48</v>
      </c>
      <c r="L752" s="24" t="n">
        <f aca="false">K752-H752*J752</f>
        <v>30</v>
      </c>
      <c r="M752" s="20" t="s">
        <v>112</v>
      </c>
    </row>
    <row r="753" customFormat="false" ht="15" hidden="false" customHeight="false" outlineLevel="0" collapsed="false">
      <c r="A753" s="20" t="s">
        <v>1641</v>
      </c>
      <c r="B753" s="23" t="n">
        <v>45978</v>
      </c>
      <c r="C753" s="20" t="n">
        <f aca="false">MONTH(B753)</f>
        <v>11</v>
      </c>
      <c r="D753" s="20" t="s">
        <v>573</v>
      </c>
      <c r="E753" s="20" t="s">
        <v>109</v>
      </c>
      <c r="F753" s="20" t="s">
        <v>48</v>
      </c>
      <c r="G753" s="20" t="s">
        <v>116</v>
      </c>
      <c r="H753" s="20" t="n">
        <v>1</v>
      </c>
      <c r="I753" s="24" t="n">
        <v>28</v>
      </c>
      <c r="J753" s="24" t="n">
        <v>9</v>
      </c>
      <c r="K753" s="24" t="n">
        <f aca="false">H753*I753</f>
        <v>28</v>
      </c>
      <c r="L753" s="24" t="n">
        <f aca="false">K753-H753*J753</f>
        <v>19</v>
      </c>
      <c r="M753" s="20" t="s">
        <v>50</v>
      </c>
    </row>
    <row r="754" customFormat="false" ht="15" hidden="false" customHeight="false" outlineLevel="0" collapsed="false">
      <c r="A754" s="20" t="s">
        <v>1535</v>
      </c>
      <c r="B754" s="23" t="n">
        <v>45978</v>
      </c>
      <c r="C754" s="20" t="n">
        <f aca="false">MONTH(B754)</f>
        <v>11</v>
      </c>
      <c r="D754" s="20" t="s">
        <v>344</v>
      </c>
      <c r="E754" s="20" t="s">
        <v>47</v>
      </c>
      <c r="F754" s="20" t="s">
        <v>54</v>
      </c>
      <c r="G754" s="20" t="s">
        <v>72</v>
      </c>
      <c r="H754" s="20" t="n">
        <v>1</v>
      </c>
      <c r="I754" s="24" t="n">
        <v>24</v>
      </c>
      <c r="J754" s="24" t="n">
        <v>9</v>
      </c>
      <c r="K754" s="24" t="n">
        <f aca="false">H754*I754</f>
        <v>24</v>
      </c>
      <c r="L754" s="24" t="n">
        <f aca="false">K754-H754*J754</f>
        <v>15</v>
      </c>
      <c r="M754" s="20" t="s">
        <v>50</v>
      </c>
    </row>
    <row r="755" customFormat="false" ht="15" hidden="false" customHeight="false" outlineLevel="0" collapsed="false">
      <c r="A755" s="20" t="s">
        <v>680</v>
      </c>
      <c r="B755" s="23" t="n">
        <v>45978</v>
      </c>
      <c r="C755" s="20" t="n">
        <f aca="false">MONTH(B755)</f>
        <v>11</v>
      </c>
      <c r="D755" s="20" t="s">
        <v>250</v>
      </c>
      <c r="E755" s="20" t="s">
        <v>47</v>
      </c>
      <c r="F755" s="20" t="s">
        <v>54</v>
      </c>
      <c r="G755" s="20" t="s">
        <v>76</v>
      </c>
      <c r="H755" s="20" t="n">
        <v>3</v>
      </c>
      <c r="I755" s="24" t="n">
        <v>32</v>
      </c>
      <c r="J755" s="24" t="n">
        <v>13</v>
      </c>
      <c r="K755" s="24" t="n">
        <f aca="false">H755*I755</f>
        <v>96</v>
      </c>
      <c r="L755" s="24" t="n">
        <f aca="false">K755-H755*J755</f>
        <v>57</v>
      </c>
      <c r="M755" s="20" t="s">
        <v>50</v>
      </c>
    </row>
    <row r="756" customFormat="false" ht="15" hidden="false" customHeight="false" outlineLevel="0" collapsed="false">
      <c r="A756" s="20" t="s">
        <v>1405</v>
      </c>
      <c r="B756" s="23" t="n">
        <v>45979</v>
      </c>
      <c r="C756" s="20" t="n">
        <f aca="false">MONTH(B756)</f>
        <v>11</v>
      </c>
      <c r="D756" s="20" t="s">
        <v>250</v>
      </c>
      <c r="E756" s="20" t="s">
        <v>65</v>
      </c>
      <c r="F756" s="20" t="s">
        <v>92</v>
      </c>
      <c r="G756" s="20" t="s">
        <v>93</v>
      </c>
      <c r="H756" s="20" t="n">
        <v>2</v>
      </c>
      <c r="I756" s="24" t="n">
        <v>15</v>
      </c>
      <c r="J756" s="24" t="n">
        <v>5</v>
      </c>
      <c r="K756" s="24" t="n">
        <f aca="false">H756*I756</f>
        <v>30</v>
      </c>
      <c r="L756" s="24" t="n">
        <f aca="false">K756-H756*J756</f>
        <v>20</v>
      </c>
      <c r="M756" s="20" t="s">
        <v>50</v>
      </c>
    </row>
    <row r="757" customFormat="false" ht="15" hidden="false" customHeight="false" outlineLevel="0" collapsed="false">
      <c r="A757" s="20" t="s">
        <v>1686</v>
      </c>
      <c r="B757" s="23" t="n">
        <v>45979</v>
      </c>
      <c r="C757" s="20" t="n">
        <f aca="false">MONTH(B757)</f>
        <v>11</v>
      </c>
      <c r="D757" s="20" t="s">
        <v>272</v>
      </c>
      <c r="E757" s="20" t="s">
        <v>65</v>
      </c>
      <c r="F757" s="20" t="s">
        <v>54</v>
      </c>
      <c r="G757" s="20" t="s">
        <v>72</v>
      </c>
      <c r="H757" s="20" t="n">
        <v>1</v>
      </c>
      <c r="I757" s="24" t="n">
        <v>24</v>
      </c>
      <c r="J757" s="24" t="n">
        <v>9</v>
      </c>
      <c r="K757" s="24" t="n">
        <f aca="false">H757*I757</f>
        <v>24</v>
      </c>
      <c r="L757" s="24" t="n">
        <f aca="false">K757-H757*J757</f>
        <v>15</v>
      </c>
      <c r="M757" s="20" t="s">
        <v>50</v>
      </c>
    </row>
    <row r="758" customFormat="false" ht="15" hidden="false" customHeight="false" outlineLevel="0" collapsed="false">
      <c r="A758" s="20" t="s">
        <v>1543</v>
      </c>
      <c r="B758" s="23" t="n">
        <v>45980</v>
      </c>
      <c r="C758" s="20" t="n">
        <f aca="false">MONTH(B758)</f>
        <v>11</v>
      </c>
      <c r="D758" s="20" t="s">
        <v>1221</v>
      </c>
      <c r="E758" s="20" t="s">
        <v>65</v>
      </c>
      <c r="F758" s="20" t="s">
        <v>54</v>
      </c>
      <c r="G758" s="20" t="s">
        <v>55</v>
      </c>
      <c r="H758" s="20" t="n">
        <v>1</v>
      </c>
      <c r="I758" s="24" t="n">
        <v>38</v>
      </c>
      <c r="J758" s="24" t="n">
        <v>16</v>
      </c>
      <c r="K758" s="24" t="n">
        <f aca="false">H758*I758</f>
        <v>38</v>
      </c>
      <c r="L758" s="24" t="n">
        <f aca="false">K758-H758*J758</f>
        <v>22</v>
      </c>
      <c r="M758" s="20" t="s">
        <v>50</v>
      </c>
    </row>
    <row r="759" customFormat="false" ht="15" hidden="false" customHeight="false" outlineLevel="0" collapsed="false">
      <c r="A759" s="20" t="s">
        <v>1492</v>
      </c>
      <c r="B759" s="23" t="n">
        <v>45980</v>
      </c>
      <c r="C759" s="20" t="n">
        <f aca="false">MONTH(B759)</f>
        <v>11</v>
      </c>
      <c r="D759" s="20" t="s">
        <v>296</v>
      </c>
      <c r="E759" s="20" t="s">
        <v>59</v>
      </c>
      <c r="F759" s="20" t="s">
        <v>81</v>
      </c>
      <c r="G759" s="20" t="s">
        <v>61</v>
      </c>
      <c r="H759" s="20" t="n">
        <v>1</v>
      </c>
      <c r="I759" s="24" t="n">
        <v>35</v>
      </c>
      <c r="J759" s="24" t="n">
        <v>12</v>
      </c>
      <c r="K759" s="24" t="n">
        <f aca="false">H759*I759</f>
        <v>35</v>
      </c>
      <c r="L759" s="24" t="n">
        <f aca="false">K759-H759*J759</f>
        <v>23</v>
      </c>
      <c r="M759" s="20" t="s">
        <v>50</v>
      </c>
    </row>
    <row r="760" customFormat="false" ht="15" hidden="false" customHeight="false" outlineLevel="0" collapsed="false">
      <c r="A760" s="20" t="s">
        <v>503</v>
      </c>
      <c r="B760" s="23" t="n">
        <v>45981</v>
      </c>
      <c r="C760" s="20" t="n">
        <f aca="false">MONTH(B760)</f>
        <v>11</v>
      </c>
      <c r="D760" s="20" t="s">
        <v>344</v>
      </c>
      <c r="E760" s="20" t="s">
        <v>65</v>
      </c>
      <c r="F760" s="20" t="s">
        <v>48</v>
      </c>
      <c r="G760" s="20" t="s">
        <v>49</v>
      </c>
      <c r="H760" s="20" t="n">
        <v>2</v>
      </c>
      <c r="I760" s="24" t="n">
        <v>18</v>
      </c>
      <c r="J760" s="24" t="n">
        <v>5</v>
      </c>
      <c r="K760" s="24" t="n">
        <f aca="false">H760*I760</f>
        <v>36</v>
      </c>
      <c r="L760" s="24" t="n">
        <f aca="false">K760-H760*J760</f>
        <v>26</v>
      </c>
      <c r="M760" s="20" t="s">
        <v>50</v>
      </c>
    </row>
    <row r="761" customFormat="false" ht="15" hidden="false" customHeight="false" outlineLevel="0" collapsed="false">
      <c r="A761" s="20" t="s">
        <v>1034</v>
      </c>
      <c r="B761" s="23" t="n">
        <v>45981</v>
      </c>
      <c r="C761" s="20" t="n">
        <f aca="false">MONTH(B761)</f>
        <v>11</v>
      </c>
      <c r="D761" s="20" t="s">
        <v>344</v>
      </c>
      <c r="E761" s="20" t="s">
        <v>59</v>
      </c>
      <c r="F761" s="20" t="s">
        <v>81</v>
      </c>
      <c r="G761" s="20" t="s">
        <v>82</v>
      </c>
      <c r="H761" s="20" t="n">
        <v>1</v>
      </c>
      <c r="I761" s="24" t="n">
        <v>22</v>
      </c>
      <c r="J761" s="24" t="n">
        <v>8</v>
      </c>
      <c r="K761" s="24" t="n">
        <f aca="false">H761*I761</f>
        <v>22</v>
      </c>
      <c r="L761" s="24" t="n">
        <f aca="false">K761-H761*J761</f>
        <v>14</v>
      </c>
      <c r="M761" s="20" t="s">
        <v>50</v>
      </c>
    </row>
    <row r="762" customFormat="false" ht="15" hidden="false" customHeight="false" outlineLevel="0" collapsed="false">
      <c r="A762" s="20" t="s">
        <v>1455</v>
      </c>
      <c r="B762" s="23" t="n">
        <v>45981</v>
      </c>
      <c r="C762" s="20" t="n">
        <f aca="false">MONTH(B762)</f>
        <v>11</v>
      </c>
      <c r="D762" s="20" t="s">
        <v>97</v>
      </c>
      <c r="E762" s="20" t="s">
        <v>47</v>
      </c>
      <c r="F762" s="20" t="s">
        <v>81</v>
      </c>
      <c r="G762" s="20" t="s">
        <v>82</v>
      </c>
      <c r="H762" s="20" t="n">
        <v>2</v>
      </c>
      <c r="I762" s="24" t="n">
        <v>22</v>
      </c>
      <c r="J762" s="24" t="n">
        <v>8</v>
      </c>
      <c r="K762" s="24" t="n">
        <f aca="false">H762*I762</f>
        <v>44</v>
      </c>
      <c r="L762" s="24" t="n">
        <f aca="false">K762-H762*J762</f>
        <v>28</v>
      </c>
      <c r="M762" s="20" t="s">
        <v>50</v>
      </c>
    </row>
    <row r="763" customFormat="false" ht="15" hidden="false" customHeight="false" outlineLevel="0" collapsed="false">
      <c r="A763" s="20" t="s">
        <v>346</v>
      </c>
      <c r="B763" s="23" t="n">
        <v>45982</v>
      </c>
      <c r="C763" s="20" t="n">
        <f aca="false">MONTH(B763)</f>
        <v>11</v>
      </c>
      <c r="D763" s="20" t="s">
        <v>348</v>
      </c>
      <c r="E763" s="20" t="s">
        <v>47</v>
      </c>
      <c r="F763" s="20" t="s">
        <v>48</v>
      </c>
      <c r="G763" s="20" t="s">
        <v>49</v>
      </c>
      <c r="H763" s="20" t="n">
        <v>1</v>
      </c>
      <c r="I763" s="24" t="n">
        <v>18</v>
      </c>
      <c r="J763" s="24" t="n">
        <v>5</v>
      </c>
      <c r="K763" s="24" t="n">
        <f aca="false">H763*I763</f>
        <v>18</v>
      </c>
      <c r="L763" s="24" t="n">
        <f aca="false">K763-H763*J763</f>
        <v>13</v>
      </c>
      <c r="M763" s="20" t="s">
        <v>50</v>
      </c>
    </row>
    <row r="764" customFormat="false" ht="15" hidden="false" customHeight="false" outlineLevel="0" collapsed="false">
      <c r="A764" s="20" t="s">
        <v>1279</v>
      </c>
      <c r="B764" s="23" t="n">
        <v>45982</v>
      </c>
      <c r="C764" s="20" t="n">
        <f aca="false">MONTH(B764)</f>
        <v>11</v>
      </c>
      <c r="D764" s="20" t="s">
        <v>535</v>
      </c>
      <c r="E764" s="20" t="s">
        <v>59</v>
      </c>
      <c r="F764" s="20" t="s">
        <v>81</v>
      </c>
      <c r="G764" s="20" t="s">
        <v>61</v>
      </c>
      <c r="H764" s="20" t="n">
        <v>1</v>
      </c>
      <c r="I764" s="24" t="n">
        <v>35</v>
      </c>
      <c r="J764" s="24" t="n">
        <v>12</v>
      </c>
      <c r="K764" s="24" t="n">
        <f aca="false">H764*I764</f>
        <v>35</v>
      </c>
      <c r="L764" s="24" t="n">
        <f aca="false">K764-H764*J764</f>
        <v>23</v>
      </c>
      <c r="M764" s="20" t="s">
        <v>50</v>
      </c>
    </row>
    <row r="765" customFormat="false" ht="15" hidden="false" customHeight="false" outlineLevel="0" collapsed="false">
      <c r="A765" s="20" t="s">
        <v>858</v>
      </c>
      <c r="B765" s="23" t="n">
        <v>45983</v>
      </c>
      <c r="C765" s="20" t="n">
        <f aca="false">MONTH(B765)</f>
        <v>11</v>
      </c>
      <c r="D765" s="20" t="s">
        <v>286</v>
      </c>
      <c r="E765" s="20" t="s">
        <v>47</v>
      </c>
      <c r="F765" s="20" t="s">
        <v>92</v>
      </c>
      <c r="G765" s="20" t="s">
        <v>196</v>
      </c>
      <c r="H765" s="20" t="n">
        <v>1</v>
      </c>
      <c r="I765" s="24" t="n">
        <v>89</v>
      </c>
      <c r="J765" s="24" t="n">
        <v>41</v>
      </c>
      <c r="K765" s="24" t="n">
        <f aca="false">H765*I765</f>
        <v>89</v>
      </c>
      <c r="L765" s="24" t="n">
        <f aca="false">K765-H765*J765</f>
        <v>48</v>
      </c>
      <c r="M765" s="20" t="s">
        <v>50</v>
      </c>
    </row>
    <row r="766" customFormat="false" ht="15" hidden="false" customHeight="false" outlineLevel="0" collapsed="false">
      <c r="A766" s="20" t="s">
        <v>330</v>
      </c>
      <c r="B766" s="23" t="n">
        <v>45983</v>
      </c>
      <c r="C766" s="20" t="n">
        <f aca="false">MONTH(B766)</f>
        <v>11</v>
      </c>
      <c r="D766" s="20" t="s">
        <v>332</v>
      </c>
      <c r="E766" s="20" t="s">
        <v>47</v>
      </c>
      <c r="F766" s="20" t="s">
        <v>81</v>
      </c>
      <c r="G766" s="20" t="s">
        <v>61</v>
      </c>
      <c r="H766" s="20" t="n">
        <v>2</v>
      </c>
      <c r="I766" s="24" t="n">
        <v>35</v>
      </c>
      <c r="J766" s="24" t="n">
        <v>12</v>
      </c>
      <c r="K766" s="24" t="n">
        <f aca="false">H766*I766</f>
        <v>70</v>
      </c>
      <c r="L766" s="24" t="n">
        <f aca="false">K766-H766*J766</f>
        <v>46</v>
      </c>
      <c r="M766" s="20" t="s">
        <v>50</v>
      </c>
    </row>
    <row r="767" customFormat="false" ht="15" hidden="false" customHeight="false" outlineLevel="0" collapsed="false">
      <c r="A767" s="20" t="s">
        <v>686</v>
      </c>
      <c r="B767" s="23" t="n">
        <v>45983</v>
      </c>
      <c r="C767" s="20" t="n">
        <f aca="false">MONTH(B767)</f>
        <v>11</v>
      </c>
      <c r="D767" s="20" t="s">
        <v>69</v>
      </c>
      <c r="E767" s="20" t="s">
        <v>109</v>
      </c>
      <c r="F767" s="20" t="s">
        <v>92</v>
      </c>
      <c r="G767" s="20" t="s">
        <v>93</v>
      </c>
      <c r="H767" s="20" t="n">
        <v>4</v>
      </c>
      <c r="I767" s="24" t="n">
        <v>15</v>
      </c>
      <c r="J767" s="24" t="n">
        <v>5</v>
      </c>
      <c r="K767" s="24" t="n">
        <f aca="false">H767*I767</f>
        <v>60</v>
      </c>
      <c r="L767" s="24" t="n">
        <f aca="false">K767-H767*J767</f>
        <v>40</v>
      </c>
      <c r="M767" s="20" t="s">
        <v>50</v>
      </c>
    </row>
    <row r="768" customFormat="false" ht="15" hidden="false" customHeight="false" outlineLevel="0" collapsed="false">
      <c r="A768" s="20" t="s">
        <v>710</v>
      </c>
      <c r="B768" s="23" t="n">
        <v>45984</v>
      </c>
      <c r="C768" s="20" t="n">
        <f aca="false">MONTH(B768)</f>
        <v>11</v>
      </c>
      <c r="D768" s="20" t="s">
        <v>80</v>
      </c>
      <c r="E768" s="20" t="s">
        <v>109</v>
      </c>
      <c r="F768" s="20" t="s">
        <v>48</v>
      </c>
      <c r="G768" s="20" t="s">
        <v>116</v>
      </c>
      <c r="H768" s="20" t="n">
        <v>1</v>
      </c>
      <c r="I768" s="24" t="n">
        <v>28</v>
      </c>
      <c r="J768" s="24" t="n">
        <v>9</v>
      </c>
      <c r="K768" s="24" t="n">
        <f aca="false">H768*I768</f>
        <v>28</v>
      </c>
      <c r="L768" s="24" t="n">
        <f aca="false">K768-H768*J768</f>
        <v>19</v>
      </c>
      <c r="M768" s="20" t="s">
        <v>50</v>
      </c>
    </row>
    <row r="769" customFormat="false" ht="15" hidden="false" customHeight="false" outlineLevel="0" collapsed="false">
      <c r="A769" s="20" t="s">
        <v>1654</v>
      </c>
      <c r="B769" s="23" t="n">
        <v>45984</v>
      </c>
      <c r="C769" s="20" t="n">
        <f aca="false">MONTH(B769)</f>
        <v>11</v>
      </c>
      <c r="D769" s="20" t="s">
        <v>291</v>
      </c>
      <c r="E769" s="20" t="s">
        <v>59</v>
      </c>
      <c r="F769" s="20" t="s">
        <v>48</v>
      </c>
      <c r="G769" s="20" t="s">
        <v>144</v>
      </c>
      <c r="H769" s="20" t="n">
        <v>2</v>
      </c>
      <c r="I769" s="24" t="n">
        <v>54</v>
      </c>
      <c r="J769" s="24" t="n">
        <v>24</v>
      </c>
      <c r="K769" s="24" t="n">
        <f aca="false">H769*I769</f>
        <v>108</v>
      </c>
      <c r="L769" s="24" t="n">
        <f aca="false">K769-H769*J769</f>
        <v>60</v>
      </c>
      <c r="M769" s="20" t="s">
        <v>50</v>
      </c>
    </row>
    <row r="770" customFormat="false" ht="15" hidden="false" customHeight="false" outlineLevel="0" collapsed="false">
      <c r="A770" s="20" t="s">
        <v>1513</v>
      </c>
      <c r="B770" s="23" t="n">
        <v>45984</v>
      </c>
      <c r="C770" s="20" t="n">
        <f aca="false">MONTH(B770)</f>
        <v>11</v>
      </c>
      <c r="D770" s="20" t="s">
        <v>80</v>
      </c>
      <c r="E770" s="20" t="s">
        <v>65</v>
      </c>
      <c r="F770" s="20" t="s">
        <v>54</v>
      </c>
      <c r="G770" s="20" t="s">
        <v>72</v>
      </c>
      <c r="H770" s="20" t="n">
        <v>1</v>
      </c>
      <c r="I770" s="24" t="n">
        <v>24</v>
      </c>
      <c r="J770" s="24" t="n">
        <v>9</v>
      </c>
      <c r="K770" s="24" t="n">
        <f aca="false">H770*I770</f>
        <v>24</v>
      </c>
      <c r="L770" s="24" t="n">
        <f aca="false">K770-H770*J770</f>
        <v>15</v>
      </c>
      <c r="M770" s="20" t="s">
        <v>50</v>
      </c>
    </row>
    <row r="771" customFormat="false" ht="15" hidden="false" customHeight="false" outlineLevel="0" collapsed="false">
      <c r="A771" s="20" t="s">
        <v>1642</v>
      </c>
      <c r="B771" s="23" t="n">
        <v>45984</v>
      </c>
      <c r="C771" s="20" t="n">
        <f aca="false">MONTH(B771)</f>
        <v>11</v>
      </c>
      <c r="D771" s="20" t="s">
        <v>250</v>
      </c>
      <c r="E771" s="20" t="s">
        <v>109</v>
      </c>
      <c r="F771" s="20" t="s">
        <v>48</v>
      </c>
      <c r="G771" s="20" t="s">
        <v>144</v>
      </c>
      <c r="H771" s="20" t="n">
        <v>1</v>
      </c>
      <c r="I771" s="24" t="n">
        <v>54</v>
      </c>
      <c r="J771" s="24" t="n">
        <v>24</v>
      </c>
      <c r="K771" s="24" t="n">
        <f aca="false">H771*I771</f>
        <v>54</v>
      </c>
      <c r="L771" s="24" t="n">
        <f aca="false">K771-H771*J771</f>
        <v>30</v>
      </c>
      <c r="M771" s="20" t="s">
        <v>50</v>
      </c>
    </row>
    <row r="772" customFormat="false" ht="15" hidden="false" customHeight="false" outlineLevel="0" collapsed="false">
      <c r="A772" s="20" t="s">
        <v>1568</v>
      </c>
      <c r="B772" s="23" t="n">
        <v>45984</v>
      </c>
      <c r="C772" s="20" t="n">
        <f aca="false">MONTH(B772)</f>
        <v>11</v>
      </c>
      <c r="D772" s="20" t="s">
        <v>318</v>
      </c>
      <c r="E772" s="20" t="s">
        <v>47</v>
      </c>
      <c r="F772" s="20" t="s">
        <v>92</v>
      </c>
      <c r="G772" s="20" t="s">
        <v>93</v>
      </c>
      <c r="H772" s="20" t="n">
        <v>1</v>
      </c>
      <c r="I772" s="24" t="n">
        <v>15</v>
      </c>
      <c r="J772" s="24" t="n">
        <v>5</v>
      </c>
      <c r="K772" s="24" t="n">
        <f aca="false">H772*I772</f>
        <v>15</v>
      </c>
      <c r="L772" s="24" t="n">
        <f aca="false">K772-H772*J772</f>
        <v>10</v>
      </c>
      <c r="M772" s="20" t="s">
        <v>50</v>
      </c>
    </row>
    <row r="773" customFormat="false" ht="15" hidden="false" customHeight="false" outlineLevel="0" collapsed="false">
      <c r="A773" s="20" t="s">
        <v>1342</v>
      </c>
      <c r="B773" s="23" t="n">
        <v>45985</v>
      </c>
      <c r="C773" s="20" t="n">
        <f aca="false">MONTH(B773)</f>
        <v>11</v>
      </c>
      <c r="D773" s="20" t="s">
        <v>143</v>
      </c>
      <c r="E773" s="20" t="s">
        <v>47</v>
      </c>
      <c r="F773" s="20" t="s">
        <v>110</v>
      </c>
      <c r="G773" s="20" t="s">
        <v>111</v>
      </c>
      <c r="H773" s="20" t="n">
        <v>1</v>
      </c>
      <c r="I773" s="24" t="n">
        <v>16</v>
      </c>
      <c r="J773" s="24" t="n">
        <v>5</v>
      </c>
      <c r="K773" s="24" t="n">
        <f aca="false">H773*I773</f>
        <v>16</v>
      </c>
      <c r="L773" s="24" t="n">
        <f aca="false">K773-H773*J773</f>
        <v>11</v>
      </c>
      <c r="M773" s="20" t="s">
        <v>50</v>
      </c>
    </row>
    <row r="774" customFormat="false" ht="15" hidden="false" customHeight="false" outlineLevel="0" collapsed="false">
      <c r="A774" s="20" t="s">
        <v>721</v>
      </c>
      <c r="B774" s="23" t="n">
        <v>45985</v>
      </c>
      <c r="C774" s="20" t="n">
        <f aca="false">MONTH(B774)</f>
        <v>11</v>
      </c>
      <c r="D774" s="20" t="s">
        <v>397</v>
      </c>
      <c r="E774" s="20" t="s">
        <v>70</v>
      </c>
      <c r="F774" s="20" t="s">
        <v>81</v>
      </c>
      <c r="G774" s="20" t="s">
        <v>67</v>
      </c>
      <c r="H774" s="20" t="n">
        <v>2</v>
      </c>
      <c r="I774" s="24" t="n">
        <v>45</v>
      </c>
      <c r="J774" s="24" t="n">
        <v>17</v>
      </c>
      <c r="K774" s="24" t="n">
        <f aca="false">H774*I774</f>
        <v>90</v>
      </c>
      <c r="L774" s="24" t="n">
        <f aca="false">K774-H774*J774</f>
        <v>56</v>
      </c>
      <c r="M774" s="20" t="s">
        <v>50</v>
      </c>
    </row>
    <row r="775" customFormat="false" ht="15" hidden="false" customHeight="false" outlineLevel="0" collapsed="false">
      <c r="A775" s="20" t="s">
        <v>416</v>
      </c>
      <c r="B775" s="23" t="n">
        <v>45985</v>
      </c>
      <c r="C775" s="20" t="n">
        <f aca="false">MONTH(B775)</f>
        <v>11</v>
      </c>
      <c r="D775" s="20" t="s">
        <v>75</v>
      </c>
      <c r="E775" s="20" t="s">
        <v>47</v>
      </c>
      <c r="F775" s="20" t="s">
        <v>92</v>
      </c>
      <c r="G775" s="20" t="s">
        <v>105</v>
      </c>
      <c r="H775" s="20" t="n">
        <v>1</v>
      </c>
      <c r="I775" s="24" t="n">
        <v>49</v>
      </c>
      <c r="J775" s="24" t="n">
        <v>22</v>
      </c>
      <c r="K775" s="24" t="n">
        <f aca="false">H775*I775</f>
        <v>49</v>
      </c>
      <c r="L775" s="24" t="n">
        <f aca="false">K775-H775*J775</f>
        <v>27</v>
      </c>
      <c r="M775" s="20" t="s">
        <v>50</v>
      </c>
    </row>
    <row r="776" customFormat="false" ht="15" hidden="false" customHeight="false" outlineLevel="0" collapsed="false">
      <c r="A776" s="20" t="s">
        <v>574</v>
      </c>
      <c r="B776" s="23" t="n">
        <v>45986</v>
      </c>
      <c r="C776" s="20" t="n">
        <f aca="false">MONTH(B776)</f>
        <v>11</v>
      </c>
      <c r="D776" s="20" t="s">
        <v>412</v>
      </c>
      <c r="E776" s="20" t="s">
        <v>47</v>
      </c>
      <c r="F776" s="20" t="s">
        <v>54</v>
      </c>
      <c r="G776" s="20" t="s">
        <v>76</v>
      </c>
      <c r="H776" s="20" t="n">
        <v>2</v>
      </c>
      <c r="I776" s="24" t="n">
        <v>32</v>
      </c>
      <c r="J776" s="24" t="n">
        <v>13</v>
      </c>
      <c r="K776" s="24" t="n">
        <f aca="false">H776*I776</f>
        <v>64</v>
      </c>
      <c r="L776" s="24" t="n">
        <f aca="false">K776-H776*J776</f>
        <v>38</v>
      </c>
      <c r="M776" s="20" t="s">
        <v>50</v>
      </c>
    </row>
    <row r="777" customFormat="false" ht="15" hidden="false" customHeight="false" outlineLevel="0" collapsed="false">
      <c r="A777" s="20" t="s">
        <v>1681</v>
      </c>
      <c r="B777" s="23" t="n">
        <v>45986</v>
      </c>
      <c r="C777" s="20" t="n">
        <f aca="false">MONTH(B777)</f>
        <v>11</v>
      </c>
      <c r="D777" s="20" t="s">
        <v>338</v>
      </c>
      <c r="E777" s="20" t="s">
        <v>47</v>
      </c>
      <c r="F777" s="20" t="s">
        <v>81</v>
      </c>
      <c r="G777" s="20" t="s">
        <v>82</v>
      </c>
      <c r="H777" s="20" t="n">
        <v>1</v>
      </c>
      <c r="I777" s="24" t="n">
        <v>22</v>
      </c>
      <c r="J777" s="24" t="n">
        <v>8</v>
      </c>
      <c r="K777" s="24" t="n">
        <f aca="false">H777*I777</f>
        <v>22</v>
      </c>
      <c r="L777" s="24" t="n">
        <f aca="false">K777-H777*J777</f>
        <v>14</v>
      </c>
      <c r="M777" s="20" t="s">
        <v>50</v>
      </c>
    </row>
    <row r="778" customFormat="false" ht="15" hidden="false" customHeight="false" outlineLevel="0" collapsed="false">
      <c r="A778" s="20" t="s">
        <v>1012</v>
      </c>
      <c r="B778" s="23" t="n">
        <v>45986</v>
      </c>
      <c r="C778" s="20" t="n">
        <f aca="false">MONTH(B778)</f>
        <v>11</v>
      </c>
      <c r="D778" s="20" t="s">
        <v>1013</v>
      </c>
      <c r="E778" s="20" t="s">
        <v>109</v>
      </c>
      <c r="F778" s="20" t="s">
        <v>54</v>
      </c>
      <c r="G778" s="20" t="s">
        <v>55</v>
      </c>
      <c r="H778" s="20" t="n">
        <v>1</v>
      </c>
      <c r="I778" s="24" t="n">
        <v>38</v>
      </c>
      <c r="J778" s="24" t="n">
        <v>16</v>
      </c>
      <c r="K778" s="24" t="n">
        <f aca="false">H778*I778</f>
        <v>38</v>
      </c>
      <c r="L778" s="24" t="n">
        <f aca="false">K778-H778*J778</f>
        <v>22</v>
      </c>
      <c r="M778" s="20" t="s">
        <v>50</v>
      </c>
    </row>
    <row r="779" customFormat="false" ht="15" hidden="false" customHeight="false" outlineLevel="0" collapsed="false">
      <c r="A779" s="20" t="s">
        <v>1336</v>
      </c>
      <c r="B779" s="23" t="n">
        <v>45987</v>
      </c>
      <c r="C779" s="20" t="n">
        <f aca="false">MONTH(B779)</f>
        <v>11</v>
      </c>
      <c r="D779" s="20" t="s">
        <v>69</v>
      </c>
      <c r="E779" s="20" t="s">
        <v>70</v>
      </c>
      <c r="F779" s="20" t="s">
        <v>92</v>
      </c>
      <c r="G779" s="20" t="s">
        <v>93</v>
      </c>
      <c r="H779" s="20" t="n">
        <v>1</v>
      </c>
      <c r="I779" s="24" t="n">
        <v>15</v>
      </c>
      <c r="J779" s="24" t="n">
        <v>5</v>
      </c>
      <c r="K779" s="24" t="n">
        <f aca="false">H779*I779</f>
        <v>15</v>
      </c>
      <c r="L779" s="24" t="n">
        <f aca="false">K779-H779*J779</f>
        <v>10</v>
      </c>
      <c r="M779" s="20" t="s">
        <v>50</v>
      </c>
    </row>
    <row r="780" customFormat="false" ht="15" hidden="false" customHeight="false" outlineLevel="0" collapsed="false">
      <c r="A780" s="20" t="s">
        <v>802</v>
      </c>
      <c r="B780" s="23" t="n">
        <v>45987</v>
      </c>
      <c r="C780" s="20" t="n">
        <f aca="false">MONTH(B780)</f>
        <v>11</v>
      </c>
      <c r="D780" s="20" t="s">
        <v>75</v>
      </c>
      <c r="E780" s="20" t="s">
        <v>59</v>
      </c>
      <c r="F780" s="20" t="s">
        <v>54</v>
      </c>
      <c r="G780" s="20" t="s">
        <v>72</v>
      </c>
      <c r="H780" s="20" t="n">
        <v>2</v>
      </c>
      <c r="I780" s="24" t="n">
        <v>24</v>
      </c>
      <c r="J780" s="24" t="n">
        <v>9</v>
      </c>
      <c r="K780" s="24" t="n">
        <f aca="false">H780*I780</f>
        <v>48</v>
      </c>
      <c r="L780" s="24" t="n">
        <f aca="false">K780-H780*J780</f>
        <v>30</v>
      </c>
      <c r="M780" s="20" t="s">
        <v>50</v>
      </c>
    </row>
    <row r="781" customFormat="false" ht="15" hidden="false" customHeight="false" outlineLevel="0" collapsed="false">
      <c r="A781" s="20" t="s">
        <v>1029</v>
      </c>
      <c r="B781" s="23" t="n">
        <v>45987</v>
      </c>
      <c r="C781" s="20" t="n">
        <f aca="false">MONTH(B781)</f>
        <v>11</v>
      </c>
      <c r="D781" s="20" t="s">
        <v>210</v>
      </c>
      <c r="E781" s="20" t="s">
        <v>70</v>
      </c>
      <c r="F781" s="20" t="s">
        <v>110</v>
      </c>
      <c r="G781" s="20" t="s">
        <v>121</v>
      </c>
      <c r="H781" s="20" t="n">
        <v>1</v>
      </c>
      <c r="I781" s="24" t="n">
        <v>21</v>
      </c>
      <c r="J781" s="24" t="n">
        <v>7</v>
      </c>
      <c r="K781" s="24" t="n">
        <f aca="false">H781*I781</f>
        <v>21</v>
      </c>
      <c r="L781" s="24" t="n">
        <f aca="false">K781-H781*J781</f>
        <v>14</v>
      </c>
      <c r="M781" s="20" t="s">
        <v>50</v>
      </c>
    </row>
    <row r="782" customFormat="false" ht="15" hidden="false" customHeight="false" outlineLevel="0" collapsed="false">
      <c r="A782" s="20" t="s">
        <v>1332</v>
      </c>
      <c r="B782" s="23" t="n">
        <v>45987</v>
      </c>
      <c r="C782" s="20" t="n">
        <f aca="false">MONTH(B782)</f>
        <v>11</v>
      </c>
      <c r="D782" s="20" t="s">
        <v>210</v>
      </c>
      <c r="E782" s="20" t="s">
        <v>70</v>
      </c>
      <c r="F782" s="20" t="s">
        <v>81</v>
      </c>
      <c r="G782" s="20" t="s">
        <v>82</v>
      </c>
      <c r="H782" s="20" t="n">
        <v>1</v>
      </c>
      <c r="I782" s="24" t="n">
        <v>22</v>
      </c>
      <c r="J782" s="24" t="n">
        <v>8</v>
      </c>
      <c r="K782" s="24" t="n">
        <f aca="false">H782*I782</f>
        <v>22</v>
      </c>
      <c r="L782" s="24" t="n">
        <f aca="false">K782-H782*J782</f>
        <v>14</v>
      </c>
      <c r="M782" s="20" t="s">
        <v>50</v>
      </c>
    </row>
    <row r="783" customFormat="false" ht="15" hidden="false" customHeight="false" outlineLevel="0" collapsed="false">
      <c r="A783" s="20" t="s">
        <v>1523</v>
      </c>
      <c r="B783" s="23" t="n">
        <v>45987</v>
      </c>
      <c r="C783" s="20" t="n">
        <f aca="false">MONTH(B783)</f>
        <v>11</v>
      </c>
      <c r="D783" s="20" t="s">
        <v>338</v>
      </c>
      <c r="E783" s="20" t="s">
        <v>65</v>
      </c>
      <c r="F783" s="20" t="s">
        <v>54</v>
      </c>
      <c r="G783" s="20" t="s">
        <v>55</v>
      </c>
      <c r="H783" s="20" t="n">
        <v>1</v>
      </c>
      <c r="I783" s="24" t="n">
        <v>38</v>
      </c>
      <c r="J783" s="24" t="n">
        <v>16</v>
      </c>
      <c r="K783" s="24" t="n">
        <f aca="false">H783*I783</f>
        <v>38</v>
      </c>
      <c r="L783" s="24" t="n">
        <f aca="false">K783-H783*J783</f>
        <v>22</v>
      </c>
      <c r="M783" s="20" t="s">
        <v>50</v>
      </c>
    </row>
    <row r="784" customFormat="false" ht="15" hidden="false" customHeight="false" outlineLevel="0" collapsed="false">
      <c r="A784" s="20" t="s">
        <v>508</v>
      </c>
      <c r="B784" s="23" t="n">
        <v>45987</v>
      </c>
      <c r="C784" s="20" t="n">
        <f aca="false">MONTH(B784)</f>
        <v>11</v>
      </c>
      <c r="D784" s="20" t="s">
        <v>447</v>
      </c>
      <c r="E784" s="20" t="s">
        <v>47</v>
      </c>
      <c r="F784" s="20" t="s">
        <v>110</v>
      </c>
      <c r="G784" s="20" t="s">
        <v>121</v>
      </c>
      <c r="H784" s="20" t="n">
        <v>1</v>
      </c>
      <c r="I784" s="24" t="n">
        <v>21</v>
      </c>
      <c r="J784" s="24" t="n">
        <v>7</v>
      </c>
      <c r="K784" s="24" t="n">
        <f aca="false">H784*I784</f>
        <v>21</v>
      </c>
      <c r="L784" s="24" t="n">
        <f aca="false">K784-H784*J784</f>
        <v>14</v>
      </c>
      <c r="M784" s="20" t="s">
        <v>50</v>
      </c>
    </row>
    <row r="785" customFormat="false" ht="15" hidden="false" customHeight="false" outlineLevel="0" collapsed="false">
      <c r="A785" s="20" t="s">
        <v>1230</v>
      </c>
      <c r="B785" s="23" t="n">
        <v>45987</v>
      </c>
      <c r="C785" s="20" t="n">
        <f aca="false">MONTH(B785)</f>
        <v>11</v>
      </c>
      <c r="D785" s="20" t="s">
        <v>494</v>
      </c>
      <c r="E785" s="20" t="s">
        <v>59</v>
      </c>
      <c r="F785" s="20" t="s">
        <v>48</v>
      </c>
      <c r="G785" s="20" t="s">
        <v>49</v>
      </c>
      <c r="H785" s="20" t="n">
        <v>1</v>
      </c>
      <c r="I785" s="24" t="n">
        <v>18</v>
      </c>
      <c r="J785" s="24" t="n">
        <v>5</v>
      </c>
      <c r="K785" s="24" t="n">
        <f aca="false">H785*I785</f>
        <v>18</v>
      </c>
      <c r="L785" s="24" t="n">
        <f aca="false">K785-H785*J785</f>
        <v>13</v>
      </c>
      <c r="M785" s="20" t="s">
        <v>112</v>
      </c>
    </row>
    <row r="786" customFormat="false" ht="15" hidden="false" customHeight="false" outlineLevel="0" collapsed="false">
      <c r="A786" s="20" t="s">
        <v>900</v>
      </c>
      <c r="B786" s="23" t="n">
        <v>45988</v>
      </c>
      <c r="C786" s="20" t="n">
        <f aca="false">MONTH(B786)</f>
        <v>11</v>
      </c>
      <c r="D786" s="20" t="s">
        <v>901</v>
      </c>
      <c r="E786" s="20" t="s">
        <v>47</v>
      </c>
      <c r="F786" s="20" t="s">
        <v>48</v>
      </c>
      <c r="G786" s="20" t="s">
        <v>49</v>
      </c>
      <c r="H786" s="20" t="n">
        <v>1</v>
      </c>
      <c r="I786" s="24" t="n">
        <v>18</v>
      </c>
      <c r="J786" s="24" t="n">
        <v>5</v>
      </c>
      <c r="K786" s="24" t="n">
        <f aca="false">H786*I786</f>
        <v>18</v>
      </c>
      <c r="L786" s="24" t="n">
        <f aca="false">K786-H786*J786</f>
        <v>13</v>
      </c>
      <c r="M786" s="20" t="s">
        <v>50</v>
      </c>
    </row>
    <row r="787" customFormat="false" ht="15" hidden="false" customHeight="false" outlineLevel="0" collapsed="false">
      <c r="A787" s="20" t="s">
        <v>939</v>
      </c>
      <c r="B787" s="23" t="n">
        <v>45988</v>
      </c>
      <c r="C787" s="20" t="n">
        <f aca="false">MONTH(B787)</f>
        <v>11</v>
      </c>
      <c r="D787" s="20" t="s">
        <v>286</v>
      </c>
      <c r="E787" s="20" t="s">
        <v>47</v>
      </c>
      <c r="F787" s="20" t="s">
        <v>92</v>
      </c>
      <c r="G787" s="20" t="s">
        <v>93</v>
      </c>
      <c r="H787" s="20" t="n">
        <v>2</v>
      </c>
      <c r="I787" s="24" t="n">
        <v>15</v>
      </c>
      <c r="J787" s="24" t="n">
        <v>5</v>
      </c>
      <c r="K787" s="24" t="n">
        <f aca="false">H787*I787</f>
        <v>30</v>
      </c>
      <c r="L787" s="24" t="n">
        <f aca="false">K787-H787*J787</f>
        <v>20</v>
      </c>
      <c r="M787" s="20" t="s">
        <v>50</v>
      </c>
    </row>
    <row r="788" customFormat="false" ht="15" hidden="false" customHeight="false" outlineLevel="0" collapsed="false">
      <c r="A788" s="20" t="s">
        <v>563</v>
      </c>
      <c r="B788" s="23" t="n">
        <v>45988</v>
      </c>
      <c r="C788" s="20" t="n">
        <f aca="false">MONTH(B788)</f>
        <v>11</v>
      </c>
      <c r="D788" s="20" t="s">
        <v>1018</v>
      </c>
      <c r="E788" s="20" t="s">
        <v>47</v>
      </c>
      <c r="F788" s="20" t="s">
        <v>54</v>
      </c>
      <c r="G788" s="20" t="s">
        <v>55</v>
      </c>
      <c r="H788" s="20" t="n">
        <v>1</v>
      </c>
      <c r="I788" s="24" t="n">
        <v>38</v>
      </c>
      <c r="J788" s="24" t="n">
        <v>16</v>
      </c>
      <c r="K788" s="24" t="n">
        <f aca="false">H788*I788</f>
        <v>38</v>
      </c>
      <c r="L788" s="24" t="n">
        <f aca="false">K788-H788*J788</f>
        <v>22</v>
      </c>
      <c r="M788" s="20" t="s">
        <v>50</v>
      </c>
    </row>
    <row r="789" customFormat="false" ht="15" hidden="false" customHeight="false" outlineLevel="0" collapsed="false">
      <c r="A789" s="20" t="s">
        <v>1252</v>
      </c>
      <c r="B789" s="23" t="n">
        <v>45989</v>
      </c>
      <c r="C789" s="20" t="n">
        <f aca="false">MONTH(B789)</f>
        <v>11</v>
      </c>
      <c r="D789" s="20" t="s">
        <v>326</v>
      </c>
      <c r="E789" s="20" t="s">
        <v>47</v>
      </c>
      <c r="F789" s="20" t="s">
        <v>54</v>
      </c>
      <c r="G789" s="20" t="s">
        <v>76</v>
      </c>
      <c r="H789" s="20" t="n">
        <v>1</v>
      </c>
      <c r="I789" s="24" t="n">
        <v>32</v>
      </c>
      <c r="J789" s="24" t="n">
        <v>13</v>
      </c>
      <c r="K789" s="24" t="n">
        <f aca="false">H789*I789</f>
        <v>32</v>
      </c>
      <c r="L789" s="24" t="n">
        <f aca="false">K789-H789*J789</f>
        <v>19</v>
      </c>
      <c r="M789" s="20" t="s">
        <v>50</v>
      </c>
    </row>
    <row r="790" customFormat="false" ht="15" hidden="false" customHeight="false" outlineLevel="0" collapsed="false">
      <c r="A790" s="20" t="s">
        <v>1009</v>
      </c>
      <c r="B790" s="23" t="n">
        <v>45989</v>
      </c>
      <c r="C790" s="20" t="n">
        <f aca="false">MONTH(B790)</f>
        <v>11</v>
      </c>
      <c r="D790" s="20" t="s">
        <v>1010</v>
      </c>
      <c r="E790" s="20" t="s">
        <v>47</v>
      </c>
      <c r="F790" s="20" t="s">
        <v>48</v>
      </c>
      <c r="G790" s="20" t="s">
        <v>144</v>
      </c>
      <c r="H790" s="20" t="n">
        <v>1</v>
      </c>
      <c r="I790" s="24" t="n">
        <v>54</v>
      </c>
      <c r="J790" s="24" t="n">
        <v>24</v>
      </c>
      <c r="K790" s="24" t="n">
        <f aca="false">H790*I790</f>
        <v>54</v>
      </c>
      <c r="L790" s="24" t="n">
        <f aca="false">K790-H790*J790</f>
        <v>30</v>
      </c>
      <c r="M790" s="20" t="s">
        <v>50</v>
      </c>
    </row>
    <row r="791" customFormat="false" ht="15" hidden="false" customHeight="false" outlineLevel="0" collapsed="false">
      <c r="A791" s="20" t="s">
        <v>274</v>
      </c>
      <c r="B791" s="23" t="n">
        <v>45989</v>
      </c>
      <c r="C791" s="20" t="n">
        <f aca="false">MONTH(B791)</f>
        <v>11</v>
      </c>
      <c r="D791" s="20" t="s">
        <v>64</v>
      </c>
      <c r="E791" s="20" t="s">
        <v>109</v>
      </c>
      <c r="F791" s="20" t="s">
        <v>81</v>
      </c>
      <c r="G791" s="20" t="s">
        <v>61</v>
      </c>
      <c r="H791" s="20" t="n">
        <v>2</v>
      </c>
      <c r="I791" s="24" t="n">
        <v>35</v>
      </c>
      <c r="J791" s="24" t="n">
        <v>12</v>
      </c>
      <c r="K791" s="24" t="n">
        <f aca="false">H791*I791</f>
        <v>70</v>
      </c>
      <c r="L791" s="24" t="n">
        <f aca="false">K791-H791*J791</f>
        <v>46</v>
      </c>
      <c r="M791" s="20" t="s">
        <v>50</v>
      </c>
    </row>
    <row r="792" customFormat="false" ht="15" hidden="false" customHeight="false" outlineLevel="0" collapsed="false">
      <c r="A792" s="20" t="s">
        <v>164</v>
      </c>
      <c r="B792" s="23" t="n">
        <v>45989</v>
      </c>
      <c r="C792" s="20" t="n">
        <f aca="false">MONTH(B792)</f>
        <v>11</v>
      </c>
      <c r="D792" s="20" t="s">
        <v>166</v>
      </c>
      <c r="E792" s="20" t="s">
        <v>70</v>
      </c>
      <c r="F792" s="20" t="s">
        <v>54</v>
      </c>
      <c r="G792" s="20" t="s">
        <v>76</v>
      </c>
      <c r="H792" s="20" t="n">
        <v>1</v>
      </c>
      <c r="I792" s="24" t="n">
        <v>32</v>
      </c>
      <c r="J792" s="24" t="n">
        <v>13</v>
      </c>
      <c r="K792" s="24" t="n">
        <f aca="false">H792*I792</f>
        <v>32</v>
      </c>
      <c r="L792" s="24" t="n">
        <f aca="false">K792-H792*J792</f>
        <v>19</v>
      </c>
      <c r="M792" s="20" t="s">
        <v>50</v>
      </c>
    </row>
    <row r="793" customFormat="false" ht="15" hidden="false" customHeight="false" outlineLevel="0" collapsed="false">
      <c r="A793" s="20" t="s">
        <v>1338</v>
      </c>
      <c r="B793" s="23" t="n">
        <v>45992</v>
      </c>
      <c r="C793" s="20" t="n">
        <f aca="false">MONTH(B793)</f>
        <v>12</v>
      </c>
      <c r="D793" s="20" t="s">
        <v>100</v>
      </c>
      <c r="E793" s="20" t="s">
        <v>47</v>
      </c>
      <c r="F793" s="20" t="s">
        <v>92</v>
      </c>
      <c r="G793" s="20" t="s">
        <v>93</v>
      </c>
      <c r="H793" s="20" t="n">
        <v>1</v>
      </c>
      <c r="I793" s="24" t="n">
        <v>15</v>
      </c>
      <c r="J793" s="24" t="n">
        <v>5</v>
      </c>
      <c r="K793" s="24" t="n">
        <f aca="false">H793*I793</f>
        <v>15</v>
      </c>
      <c r="L793" s="24" t="n">
        <f aca="false">K793-H793*J793</f>
        <v>10</v>
      </c>
      <c r="M793" s="20" t="s">
        <v>50</v>
      </c>
    </row>
    <row r="794" customFormat="false" ht="15" hidden="false" customHeight="false" outlineLevel="0" collapsed="false">
      <c r="A794" s="20" t="s">
        <v>596</v>
      </c>
      <c r="B794" s="23" t="n">
        <v>45993</v>
      </c>
      <c r="C794" s="20" t="n">
        <f aca="false">MONTH(B794)</f>
        <v>12</v>
      </c>
      <c r="D794" s="20" t="s">
        <v>139</v>
      </c>
      <c r="E794" s="20" t="s">
        <v>47</v>
      </c>
      <c r="F794" s="20" t="s">
        <v>110</v>
      </c>
      <c r="G794" s="20" t="s">
        <v>236</v>
      </c>
      <c r="H794" s="20" t="n">
        <v>1</v>
      </c>
      <c r="I794" s="24" t="n">
        <v>30</v>
      </c>
      <c r="J794" s="24" t="n">
        <v>11</v>
      </c>
      <c r="K794" s="24" t="n">
        <f aca="false">H794*I794</f>
        <v>30</v>
      </c>
      <c r="L794" s="24" t="n">
        <f aca="false">K794-H794*J794</f>
        <v>19</v>
      </c>
      <c r="M794" s="20" t="s">
        <v>50</v>
      </c>
    </row>
    <row r="795" customFormat="false" ht="15" hidden="false" customHeight="false" outlineLevel="0" collapsed="false">
      <c r="A795" s="20" t="s">
        <v>1215</v>
      </c>
      <c r="B795" s="23" t="n">
        <v>45993</v>
      </c>
      <c r="C795" s="20" t="n">
        <f aca="false">MONTH(B795)</f>
        <v>12</v>
      </c>
      <c r="D795" s="20" t="s">
        <v>129</v>
      </c>
      <c r="E795" s="20" t="s">
        <v>70</v>
      </c>
      <c r="F795" s="20" t="s">
        <v>48</v>
      </c>
      <c r="G795" s="20" t="s">
        <v>116</v>
      </c>
      <c r="H795" s="20" t="n">
        <v>1</v>
      </c>
      <c r="I795" s="24" t="n">
        <v>28</v>
      </c>
      <c r="J795" s="24" t="n">
        <v>9</v>
      </c>
      <c r="K795" s="24" t="n">
        <f aca="false">H795*I795</f>
        <v>28</v>
      </c>
      <c r="L795" s="24" t="n">
        <f aca="false">K795-H795*J795</f>
        <v>19</v>
      </c>
      <c r="M795" s="20" t="s">
        <v>50</v>
      </c>
    </row>
    <row r="796" customFormat="false" ht="15" hidden="false" customHeight="false" outlineLevel="0" collapsed="false">
      <c r="A796" s="20" t="s">
        <v>1134</v>
      </c>
      <c r="B796" s="23" t="n">
        <v>45993</v>
      </c>
      <c r="C796" s="20" t="n">
        <f aca="false">MONTH(B796)</f>
        <v>12</v>
      </c>
      <c r="D796" s="20" t="s">
        <v>1136</v>
      </c>
      <c r="E796" s="20" t="s">
        <v>59</v>
      </c>
      <c r="F796" s="20" t="s">
        <v>81</v>
      </c>
      <c r="G796" s="20" t="s">
        <v>61</v>
      </c>
      <c r="H796" s="20" t="n">
        <v>3</v>
      </c>
      <c r="I796" s="24" t="n">
        <v>35</v>
      </c>
      <c r="J796" s="24" t="n">
        <v>12</v>
      </c>
      <c r="K796" s="24" t="n">
        <f aca="false">H796*I796</f>
        <v>105</v>
      </c>
      <c r="L796" s="24" t="n">
        <f aca="false">K796-H796*J796</f>
        <v>69</v>
      </c>
      <c r="M796" s="20" t="s">
        <v>50</v>
      </c>
    </row>
    <row r="797" customFormat="false" ht="15" hidden="false" customHeight="false" outlineLevel="0" collapsed="false">
      <c r="A797" s="20" t="s">
        <v>895</v>
      </c>
      <c r="B797" s="23" t="n">
        <v>45993</v>
      </c>
      <c r="C797" s="20" t="n">
        <f aca="false">MONTH(B797)</f>
        <v>12</v>
      </c>
      <c r="D797" s="20" t="s">
        <v>248</v>
      </c>
      <c r="E797" s="20" t="s">
        <v>70</v>
      </c>
      <c r="F797" s="20" t="s">
        <v>92</v>
      </c>
      <c r="G797" s="20" t="s">
        <v>196</v>
      </c>
      <c r="H797" s="20" t="n">
        <v>2</v>
      </c>
      <c r="I797" s="24" t="n">
        <v>89</v>
      </c>
      <c r="J797" s="24" t="n">
        <v>41</v>
      </c>
      <c r="K797" s="24" t="n">
        <f aca="false">H797*I797</f>
        <v>178</v>
      </c>
      <c r="L797" s="24" t="n">
        <f aca="false">K797-H797*J797</f>
        <v>96</v>
      </c>
      <c r="M797" s="20" t="s">
        <v>50</v>
      </c>
    </row>
    <row r="798" customFormat="false" ht="15" hidden="false" customHeight="false" outlineLevel="0" collapsed="false">
      <c r="A798" s="20" t="s">
        <v>700</v>
      </c>
      <c r="B798" s="23" t="n">
        <v>45994</v>
      </c>
      <c r="C798" s="20" t="n">
        <f aca="false">MONTH(B798)</f>
        <v>12</v>
      </c>
      <c r="D798" s="20" t="s">
        <v>86</v>
      </c>
      <c r="E798" s="20" t="s">
        <v>59</v>
      </c>
      <c r="F798" s="20" t="s">
        <v>54</v>
      </c>
      <c r="G798" s="20" t="s">
        <v>55</v>
      </c>
      <c r="H798" s="20" t="n">
        <v>1</v>
      </c>
      <c r="I798" s="24" t="n">
        <v>38</v>
      </c>
      <c r="J798" s="24" t="n">
        <v>16</v>
      </c>
      <c r="K798" s="24" t="n">
        <f aca="false">H798*I798</f>
        <v>38</v>
      </c>
      <c r="L798" s="24" t="n">
        <f aca="false">K798-H798*J798</f>
        <v>22</v>
      </c>
      <c r="M798" s="20" t="s">
        <v>50</v>
      </c>
    </row>
    <row r="799" customFormat="false" ht="15" hidden="false" customHeight="false" outlineLevel="0" collapsed="false">
      <c r="A799" s="20" t="s">
        <v>1508</v>
      </c>
      <c r="B799" s="23" t="n">
        <v>45994</v>
      </c>
      <c r="C799" s="20" t="n">
        <f aca="false">MONTH(B799)</f>
        <v>12</v>
      </c>
      <c r="D799" s="20" t="s">
        <v>183</v>
      </c>
      <c r="E799" s="20" t="s">
        <v>109</v>
      </c>
      <c r="F799" s="20" t="s">
        <v>92</v>
      </c>
      <c r="G799" s="20" t="s">
        <v>196</v>
      </c>
      <c r="H799" s="20" t="n">
        <v>1</v>
      </c>
      <c r="I799" s="24" t="n">
        <v>89</v>
      </c>
      <c r="J799" s="24" t="n">
        <v>41</v>
      </c>
      <c r="K799" s="24" t="n">
        <f aca="false">H799*I799</f>
        <v>89</v>
      </c>
      <c r="L799" s="24" t="n">
        <f aca="false">K799-H799*J799</f>
        <v>48</v>
      </c>
      <c r="M799" s="20" t="s">
        <v>50</v>
      </c>
    </row>
    <row r="800" customFormat="false" ht="15" hidden="false" customHeight="false" outlineLevel="0" collapsed="false">
      <c r="A800" s="20" t="s">
        <v>273</v>
      </c>
      <c r="B800" s="23" t="n">
        <v>45994</v>
      </c>
      <c r="C800" s="20" t="n">
        <f aca="false">MONTH(B800)</f>
        <v>12</v>
      </c>
      <c r="D800" s="20" t="s">
        <v>241</v>
      </c>
      <c r="E800" s="20" t="s">
        <v>70</v>
      </c>
      <c r="F800" s="20" t="s">
        <v>54</v>
      </c>
      <c r="G800" s="20" t="s">
        <v>55</v>
      </c>
      <c r="H800" s="20" t="n">
        <v>1</v>
      </c>
      <c r="I800" s="24" t="n">
        <v>38</v>
      </c>
      <c r="J800" s="24" t="n">
        <v>16</v>
      </c>
      <c r="K800" s="24" t="n">
        <f aca="false">H800*I800</f>
        <v>38</v>
      </c>
      <c r="L800" s="24" t="n">
        <f aca="false">K800-H800*J800</f>
        <v>22</v>
      </c>
      <c r="M800" s="20" t="s">
        <v>50</v>
      </c>
    </row>
    <row r="801" customFormat="false" ht="15" hidden="false" customHeight="false" outlineLevel="0" collapsed="false">
      <c r="A801" s="20" t="s">
        <v>1154</v>
      </c>
      <c r="B801" s="23" t="n">
        <v>45994</v>
      </c>
      <c r="C801" s="20" t="n">
        <f aca="false">MONTH(B801)</f>
        <v>12</v>
      </c>
      <c r="D801" s="20" t="s">
        <v>46</v>
      </c>
      <c r="E801" s="20" t="s">
        <v>109</v>
      </c>
      <c r="F801" s="20" t="s">
        <v>92</v>
      </c>
      <c r="G801" s="20" t="s">
        <v>105</v>
      </c>
      <c r="H801" s="20" t="n">
        <v>1</v>
      </c>
      <c r="I801" s="24" t="n">
        <v>49</v>
      </c>
      <c r="J801" s="24" t="n">
        <v>22</v>
      </c>
      <c r="K801" s="24" t="n">
        <f aca="false">H801*I801</f>
        <v>49</v>
      </c>
      <c r="L801" s="24" t="n">
        <f aca="false">K801-H801*J801</f>
        <v>27</v>
      </c>
      <c r="M801" s="20" t="s">
        <v>50</v>
      </c>
    </row>
    <row r="802" customFormat="false" ht="15" hidden="false" customHeight="false" outlineLevel="0" collapsed="false">
      <c r="A802" s="20" t="s">
        <v>1653</v>
      </c>
      <c r="B802" s="23" t="n">
        <v>45994</v>
      </c>
      <c r="C802" s="20" t="n">
        <f aca="false">MONTH(B802)</f>
        <v>12</v>
      </c>
      <c r="D802" s="20" t="s">
        <v>174</v>
      </c>
      <c r="E802" s="20" t="s">
        <v>109</v>
      </c>
      <c r="F802" s="20" t="s">
        <v>81</v>
      </c>
      <c r="G802" s="20" t="s">
        <v>82</v>
      </c>
      <c r="H802" s="20" t="n">
        <v>1</v>
      </c>
      <c r="I802" s="24" t="n">
        <v>22</v>
      </c>
      <c r="J802" s="24" t="n">
        <v>8</v>
      </c>
      <c r="K802" s="24" t="n">
        <f aca="false">H802*I802</f>
        <v>22</v>
      </c>
      <c r="L802" s="24" t="n">
        <f aca="false">K802-H802*J802</f>
        <v>14</v>
      </c>
      <c r="M802" s="20" t="s">
        <v>50</v>
      </c>
    </row>
    <row r="803" customFormat="false" ht="15" hidden="false" customHeight="false" outlineLevel="0" collapsed="false">
      <c r="A803" s="20" t="s">
        <v>181</v>
      </c>
      <c r="B803" s="23" t="n">
        <v>45995</v>
      </c>
      <c r="C803" s="20" t="n">
        <f aca="false">MONTH(B803)</f>
        <v>12</v>
      </c>
      <c r="D803" s="20" t="s">
        <v>183</v>
      </c>
      <c r="E803" s="20" t="s">
        <v>59</v>
      </c>
      <c r="F803" s="20" t="s">
        <v>92</v>
      </c>
      <c r="G803" s="20" t="s">
        <v>93</v>
      </c>
      <c r="H803" s="20" t="n">
        <v>1</v>
      </c>
      <c r="I803" s="24" t="n">
        <v>15</v>
      </c>
      <c r="J803" s="24" t="n">
        <v>5</v>
      </c>
      <c r="K803" s="24" t="n">
        <f aca="false">H803*I803</f>
        <v>15</v>
      </c>
      <c r="L803" s="24" t="n">
        <f aca="false">K803-H803*J803</f>
        <v>10</v>
      </c>
      <c r="M803" s="20" t="s">
        <v>50</v>
      </c>
    </row>
    <row r="804" customFormat="false" ht="15" hidden="false" customHeight="false" outlineLevel="0" collapsed="false">
      <c r="A804" s="20" t="s">
        <v>1210</v>
      </c>
      <c r="B804" s="23" t="n">
        <v>45995</v>
      </c>
      <c r="C804" s="20" t="n">
        <f aca="false">MONTH(B804)</f>
        <v>12</v>
      </c>
      <c r="D804" s="20" t="s">
        <v>189</v>
      </c>
      <c r="E804" s="20" t="s">
        <v>59</v>
      </c>
      <c r="F804" s="20" t="s">
        <v>48</v>
      </c>
      <c r="G804" s="20" t="s">
        <v>49</v>
      </c>
      <c r="H804" s="20" t="n">
        <v>1</v>
      </c>
      <c r="I804" s="24" t="n">
        <v>18</v>
      </c>
      <c r="J804" s="24" t="n">
        <v>5</v>
      </c>
      <c r="K804" s="24" t="n">
        <f aca="false">H804*I804</f>
        <v>18</v>
      </c>
      <c r="L804" s="24" t="n">
        <f aca="false">K804-H804*J804</f>
        <v>13</v>
      </c>
      <c r="M804" s="20" t="s">
        <v>50</v>
      </c>
    </row>
    <row r="805" customFormat="false" ht="15" hidden="false" customHeight="false" outlineLevel="0" collapsed="false">
      <c r="A805" s="20" t="s">
        <v>588</v>
      </c>
      <c r="B805" s="23" t="n">
        <v>45996</v>
      </c>
      <c r="C805" s="20" t="n">
        <f aca="false">MONTH(B805)</f>
        <v>12</v>
      </c>
      <c r="D805" s="20" t="s">
        <v>483</v>
      </c>
      <c r="E805" s="20" t="s">
        <v>70</v>
      </c>
      <c r="F805" s="20" t="s">
        <v>48</v>
      </c>
      <c r="G805" s="20" t="s">
        <v>144</v>
      </c>
      <c r="H805" s="20" t="n">
        <v>1</v>
      </c>
      <c r="I805" s="24" t="n">
        <v>54</v>
      </c>
      <c r="J805" s="24" t="n">
        <v>24</v>
      </c>
      <c r="K805" s="24" t="n">
        <f aca="false">H805*I805</f>
        <v>54</v>
      </c>
      <c r="L805" s="24" t="n">
        <f aca="false">K805-H805*J805</f>
        <v>30</v>
      </c>
      <c r="M805" s="20" t="s">
        <v>50</v>
      </c>
    </row>
    <row r="806" customFormat="false" ht="15" hidden="false" customHeight="false" outlineLevel="0" collapsed="false">
      <c r="A806" s="20" t="s">
        <v>943</v>
      </c>
      <c r="B806" s="23" t="n">
        <v>45996</v>
      </c>
      <c r="C806" s="20" t="n">
        <f aca="false">MONTH(B806)</f>
        <v>12</v>
      </c>
      <c r="D806" s="20" t="s">
        <v>464</v>
      </c>
      <c r="E806" s="20" t="s">
        <v>109</v>
      </c>
      <c r="F806" s="20" t="s">
        <v>81</v>
      </c>
      <c r="G806" s="20" t="s">
        <v>67</v>
      </c>
      <c r="H806" s="20" t="n">
        <v>1</v>
      </c>
      <c r="I806" s="24" t="n">
        <v>45</v>
      </c>
      <c r="J806" s="24" t="n">
        <v>17</v>
      </c>
      <c r="K806" s="24" t="n">
        <f aca="false">H806*I806</f>
        <v>45</v>
      </c>
      <c r="L806" s="24" t="n">
        <f aca="false">K806-H806*J806</f>
        <v>28</v>
      </c>
      <c r="M806" s="20" t="s">
        <v>50</v>
      </c>
    </row>
    <row r="807" customFormat="false" ht="15" hidden="false" customHeight="false" outlineLevel="0" collapsed="false">
      <c r="A807" s="20" t="s">
        <v>1128</v>
      </c>
      <c r="B807" s="23" t="n">
        <v>45997</v>
      </c>
      <c r="C807" s="20" t="n">
        <f aca="false">MONTH(B807)</f>
        <v>12</v>
      </c>
      <c r="D807" s="20" t="s">
        <v>174</v>
      </c>
      <c r="E807" s="20" t="s">
        <v>59</v>
      </c>
      <c r="F807" s="20" t="s">
        <v>110</v>
      </c>
      <c r="G807" s="20" t="s">
        <v>121</v>
      </c>
      <c r="H807" s="20" t="n">
        <v>1</v>
      </c>
      <c r="I807" s="24" t="n">
        <v>21</v>
      </c>
      <c r="J807" s="24" t="n">
        <v>7</v>
      </c>
      <c r="K807" s="24" t="n">
        <f aca="false">H807*I807</f>
        <v>21</v>
      </c>
      <c r="L807" s="24" t="n">
        <f aca="false">K807-H807*J807</f>
        <v>14</v>
      </c>
      <c r="M807" s="20" t="s">
        <v>50</v>
      </c>
    </row>
    <row r="808" customFormat="false" ht="15" hidden="false" customHeight="false" outlineLevel="0" collapsed="false">
      <c r="A808" s="20" t="s">
        <v>1171</v>
      </c>
      <c r="B808" s="23" t="n">
        <v>45997</v>
      </c>
      <c r="C808" s="20" t="n">
        <f aca="false">MONTH(B808)</f>
        <v>12</v>
      </c>
      <c r="D808" s="20" t="s">
        <v>375</v>
      </c>
      <c r="E808" s="20" t="s">
        <v>47</v>
      </c>
      <c r="F808" s="20" t="s">
        <v>48</v>
      </c>
      <c r="G808" s="20" t="s">
        <v>144</v>
      </c>
      <c r="H808" s="20" t="n">
        <v>1</v>
      </c>
      <c r="I808" s="24" t="n">
        <v>54</v>
      </c>
      <c r="J808" s="24" t="n">
        <v>24</v>
      </c>
      <c r="K808" s="24" t="n">
        <f aca="false">H808*I808</f>
        <v>54</v>
      </c>
      <c r="L808" s="24" t="n">
        <f aca="false">K808-H808*J808</f>
        <v>30</v>
      </c>
      <c r="M808" s="20" t="s">
        <v>50</v>
      </c>
    </row>
    <row r="809" customFormat="false" ht="15" hidden="false" customHeight="false" outlineLevel="0" collapsed="false">
      <c r="A809" s="20" t="s">
        <v>1045</v>
      </c>
      <c r="B809" s="23" t="n">
        <v>45997</v>
      </c>
      <c r="C809" s="20" t="n">
        <f aca="false">MONTH(B809)</f>
        <v>12</v>
      </c>
      <c r="D809" s="20" t="s">
        <v>104</v>
      </c>
      <c r="E809" s="20" t="s">
        <v>47</v>
      </c>
      <c r="F809" s="20" t="s">
        <v>110</v>
      </c>
      <c r="G809" s="20" t="s">
        <v>111</v>
      </c>
      <c r="H809" s="20" t="n">
        <v>1</v>
      </c>
      <c r="I809" s="24" t="n">
        <v>16</v>
      </c>
      <c r="J809" s="24" t="n">
        <v>5</v>
      </c>
      <c r="K809" s="24" t="n">
        <f aca="false">H809*I809</f>
        <v>16</v>
      </c>
      <c r="L809" s="24" t="n">
        <f aca="false">K809-H809*J809</f>
        <v>11</v>
      </c>
      <c r="M809" s="20" t="s">
        <v>50</v>
      </c>
    </row>
    <row r="810" customFormat="false" ht="15" hidden="false" customHeight="false" outlineLevel="0" collapsed="false">
      <c r="A810" s="20" t="s">
        <v>978</v>
      </c>
      <c r="B810" s="23" t="n">
        <v>45997</v>
      </c>
      <c r="C810" s="20" t="n">
        <f aca="false">MONTH(B810)</f>
        <v>12</v>
      </c>
      <c r="D810" s="20" t="s">
        <v>323</v>
      </c>
      <c r="E810" s="20" t="s">
        <v>65</v>
      </c>
      <c r="F810" s="20" t="s">
        <v>110</v>
      </c>
      <c r="G810" s="20" t="s">
        <v>111</v>
      </c>
      <c r="H810" s="20" t="n">
        <v>1</v>
      </c>
      <c r="I810" s="24" t="n">
        <v>16</v>
      </c>
      <c r="J810" s="24" t="n">
        <v>5</v>
      </c>
      <c r="K810" s="24" t="n">
        <f aca="false">H810*I810</f>
        <v>16</v>
      </c>
      <c r="L810" s="24" t="n">
        <f aca="false">K810-H810*J810</f>
        <v>11</v>
      </c>
      <c r="M810" s="20" t="s">
        <v>50</v>
      </c>
    </row>
    <row r="811" customFormat="false" ht="15" hidden="false" customHeight="false" outlineLevel="0" collapsed="false">
      <c r="A811" s="20" t="s">
        <v>1116</v>
      </c>
      <c r="B811" s="23" t="n">
        <v>45997</v>
      </c>
      <c r="C811" s="20" t="n">
        <f aca="false">MONTH(B811)</f>
        <v>12</v>
      </c>
      <c r="D811" s="20" t="s">
        <v>412</v>
      </c>
      <c r="E811" s="20" t="s">
        <v>47</v>
      </c>
      <c r="F811" s="20" t="s">
        <v>48</v>
      </c>
      <c r="G811" s="20" t="s">
        <v>144</v>
      </c>
      <c r="H811" s="20" t="n">
        <v>3</v>
      </c>
      <c r="I811" s="24" t="n">
        <v>54</v>
      </c>
      <c r="J811" s="24" t="n">
        <v>24</v>
      </c>
      <c r="K811" s="24" t="n">
        <f aca="false">H811*I811</f>
        <v>162</v>
      </c>
      <c r="L811" s="24" t="n">
        <f aca="false">K811-H811*J811</f>
        <v>90</v>
      </c>
      <c r="M811" s="20" t="s">
        <v>50</v>
      </c>
    </row>
    <row r="812" customFormat="false" ht="15" hidden="false" customHeight="false" outlineLevel="0" collapsed="false">
      <c r="A812" s="20" t="s">
        <v>1413</v>
      </c>
      <c r="B812" s="23" t="n">
        <v>45997</v>
      </c>
      <c r="C812" s="20" t="n">
        <f aca="false">MONTH(B812)</f>
        <v>12</v>
      </c>
      <c r="D812" s="20" t="s">
        <v>108</v>
      </c>
      <c r="E812" s="20" t="s">
        <v>59</v>
      </c>
      <c r="F812" s="20" t="s">
        <v>92</v>
      </c>
      <c r="G812" s="20" t="s">
        <v>196</v>
      </c>
      <c r="H812" s="20" t="n">
        <v>2</v>
      </c>
      <c r="I812" s="24" t="n">
        <v>89</v>
      </c>
      <c r="J812" s="24" t="n">
        <v>41</v>
      </c>
      <c r="K812" s="24" t="n">
        <f aca="false">H812*I812</f>
        <v>178</v>
      </c>
      <c r="L812" s="24" t="n">
        <f aca="false">K812-H812*J812</f>
        <v>96</v>
      </c>
      <c r="M812" s="20" t="s">
        <v>50</v>
      </c>
    </row>
    <row r="813" customFormat="false" ht="15" hidden="false" customHeight="false" outlineLevel="0" collapsed="false">
      <c r="A813" s="20" t="s">
        <v>755</v>
      </c>
      <c r="B813" s="23" t="n">
        <v>45998</v>
      </c>
      <c r="C813" s="20" t="n">
        <f aca="false">MONTH(B813)</f>
        <v>12</v>
      </c>
      <c r="D813" s="20" t="s">
        <v>387</v>
      </c>
      <c r="E813" s="20" t="s">
        <v>47</v>
      </c>
      <c r="F813" s="20" t="s">
        <v>110</v>
      </c>
      <c r="G813" s="20" t="s">
        <v>121</v>
      </c>
      <c r="H813" s="20" t="n">
        <v>2</v>
      </c>
      <c r="I813" s="24" t="n">
        <v>21</v>
      </c>
      <c r="J813" s="24" t="n">
        <v>7</v>
      </c>
      <c r="K813" s="24" t="n">
        <f aca="false">H813*I813</f>
        <v>42</v>
      </c>
      <c r="L813" s="24" t="n">
        <f aca="false">K813-H813*J813</f>
        <v>28</v>
      </c>
      <c r="M813" s="20" t="s">
        <v>50</v>
      </c>
    </row>
    <row r="814" customFormat="false" ht="15" hidden="false" customHeight="false" outlineLevel="0" collapsed="false">
      <c r="A814" s="20" t="s">
        <v>1494</v>
      </c>
      <c r="B814" s="23" t="n">
        <v>45998</v>
      </c>
      <c r="C814" s="20" t="n">
        <f aca="false">MONTH(B814)</f>
        <v>12</v>
      </c>
      <c r="D814" s="20" t="s">
        <v>100</v>
      </c>
      <c r="E814" s="20" t="s">
        <v>109</v>
      </c>
      <c r="F814" s="20" t="s">
        <v>110</v>
      </c>
      <c r="G814" s="20" t="s">
        <v>111</v>
      </c>
      <c r="H814" s="20" t="n">
        <v>3</v>
      </c>
      <c r="I814" s="24" t="n">
        <v>16</v>
      </c>
      <c r="J814" s="24" t="n">
        <v>5</v>
      </c>
      <c r="K814" s="24" t="n">
        <f aca="false">H814*I814</f>
        <v>48</v>
      </c>
      <c r="L814" s="24" t="n">
        <f aca="false">K814-H814*J814</f>
        <v>33</v>
      </c>
      <c r="M814" s="20" t="s">
        <v>50</v>
      </c>
    </row>
    <row r="815" customFormat="false" ht="15" hidden="false" customHeight="false" outlineLevel="0" collapsed="false">
      <c r="A815" s="20" t="s">
        <v>1584</v>
      </c>
      <c r="B815" s="23" t="n">
        <v>45998</v>
      </c>
      <c r="C815" s="20" t="n">
        <f aca="false">MONTH(B815)</f>
        <v>12</v>
      </c>
      <c r="D815" s="20" t="s">
        <v>357</v>
      </c>
      <c r="E815" s="20" t="s">
        <v>47</v>
      </c>
      <c r="F815" s="20" t="s">
        <v>92</v>
      </c>
      <c r="G815" s="20" t="s">
        <v>93</v>
      </c>
      <c r="H815" s="20" t="n">
        <v>1</v>
      </c>
      <c r="I815" s="24" t="n">
        <v>15</v>
      </c>
      <c r="J815" s="24" t="n">
        <v>5</v>
      </c>
      <c r="K815" s="24" t="n">
        <f aca="false">H815*I815</f>
        <v>15</v>
      </c>
      <c r="L815" s="24" t="n">
        <f aca="false">K815-H815*J815</f>
        <v>10</v>
      </c>
      <c r="M815" s="20" t="s">
        <v>50</v>
      </c>
    </row>
    <row r="816" customFormat="false" ht="15" hidden="false" customHeight="false" outlineLevel="0" collapsed="false">
      <c r="A816" s="20" t="s">
        <v>1357</v>
      </c>
      <c r="B816" s="23" t="n">
        <v>45999</v>
      </c>
      <c r="C816" s="20" t="n">
        <f aca="false">MONTH(B816)</f>
        <v>12</v>
      </c>
      <c r="D816" s="20" t="s">
        <v>431</v>
      </c>
      <c r="E816" s="20" t="s">
        <v>47</v>
      </c>
      <c r="F816" s="20" t="s">
        <v>48</v>
      </c>
      <c r="G816" s="20" t="s">
        <v>144</v>
      </c>
      <c r="H816" s="20" t="n">
        <v>2</v>
      </c>
      <c r="I816" s="24" t="n">
        <v>54</v>
      </c>
      <c r="J816" s="24" t="n">
        <v>24</v>
      </c>
      <c r="K816" s="24" t="n">
        <f aca="false">H816*I816</f>
        <v>108</v>
      </c>
      <c r="L816" s="24" t="n">
        <f aca="false">K816-H816*J816</f>
        <v>60</v>
      </c>
      <c r="M816" s="20" t="s">
        <v>50</v>
      </c>
    </row>
    <row r="817" customFormat="false" ht="15" hidden="false" customHeight="false" outlineLevel="0" collapsed="false">
      <c r="A817" s="20" t="s">
        <v>907</v>
      </c>
      <c r="B817" s="23" t="n">
        <v>45999</v>
      </c>
      <c r="C817" s="20" t="n">
        <f aca="false">MONTH(B817)</f>
        <v>12</v>
      </c>
      <c r="D817" s="20" t="s">
        <v>387</v>
      </c>
      <c r="E817" s="20" t="s">
        <v>109</v>
      </c>
      <c r="F817" s="20" t="s">
        <v>81</v>
      </c>
      <c r="G817" s="20" t="s">
        <v>82</v>
      </c>
      <c r="H817" s="20" t="n">
        <v>2</v>
      </c>
      <c r="I817" s="24" t="n">
        <v>22</v>
      </c>
      <c r="J817" s="24" t="n">
        <v>8</v>
      </c>
      <c r="K817" s="24" t="n">
        <f aca="false">H817*I817</f>
        <v>44</v>
      </c>
      <c r="L817" s="24" t="n">
        <f aca="false">K817-H817*J817</f>
        <v>28</v>
      </c>
      <c r="M817" s="20" t="s">
        <v>50</v>
      </c>
    </row>
    <row r="818" customFormat="false" ht="15" hidden="false" customHeight="false" outlineLevel="0" collapsed="false">
      <c r="A818" s="20" t="s">
        <v>1125</v>
      </c>
      <c r="B818" s="23" t="n">
        <v>45999</v>
      </c>
      <c r="C818" s="20" t="n">
        <f aca="false">MONTH(B818)</f>
        <v>12</v>
      </c>
      <c r="D818" s="20" t="s">
        <v>422</v>
      </c>
      <c r="E818" s="20" t="s">
        <v>47</v>
      </c>
      <c r="F818" s="20" t="s">
        <v>81</v>
      </c>
      <c r="G818" s="20" t="s">
        <v>61</v>
      </c>
      <c r="H818" s="20" t="n">
        <v>3</v>
      </c>
      <c r="I818" s="24" t="n">
        <v>35</v>
      </c>
      <c r="J818" s="24" t="n">
        <v>12</v>
      </c>
      <c r="K818" s="24" t="n">
        <f aca="false">H818*I818</f>
        <v>105</v>
      </c>
      <c r="L818" s="24" t="n">
        <f aca="false">K818-H818*J818</f>
        <v>69</v>
      </c>
      <c r="M818" s="20" t="s">
        <v>50</v>
      </c>
    </row>
    <row r="819" customFormat="false" ht="15" hidden="false" customHeight="false" outlineLevel="0" collapsed="false">
      <c r="A819" s="20" t="s">
        <v>610</v>
      </c>
      <c r="B819" s="23" t="n">
        <v>45999</v>
      </c>
      <c r="C819" s="20" t="n">
        <f aca="false">MONTH(B819)</f>
        <v>12</v>
      </c>
      <c r="D819" s="20" t="s">
        <v>557</v>
      </c>
      <c r="E819" s="20" t="s">
        <v>109</v>
      </c>
      <c r="F819" s="20" t="s">
        <v>81</v>
      </c>
      <c r="G819" s="20" t="s">
        <v>67</v>
      </c>
      <c r="H819" s="20" t="n">
        <v>1</v>
      </c>
      <c r="I819" s="24" t="n">
        <v>45</v>
      </c>
      <c r="J819" s="24" t="n">
        <v>17</v>
      </c>
      <c r="K819" s="24" t="n">
        <f aca="false">H819*I819</f>
        <v>45</v>
      </c>
      <c r="L819" s="24" t="n">
        <f aca="false">K819-H819*J819</f>
        <v>28</v>
      </c>
      <c r="M819" s="20" t="s">
        <v>50</v>
      </c>
    </row>
    <row r="820" customFormat="false" ht="15" hidden="false" customHeight="false" outlineLevel="0" collapsed="false">
      <c r="A820" s="20" t="s">
        <v>95</v>
      </c>
      <c r="B820" s="23" t="n">
        <v>45999</v>
      </c>
      <c r="C820" s="20" t="n">
        <f aca="false">MONTH(B820)</f>
        <v>12</v>
      </c>
      <c r="D820" s="20" t="s">
        <v>97</v>
      </c>
      <c r="E820" s="20" t="s">
        <v>47</v>
      </c>
      <c r="F820" s="20" t="s">
        <v>81</v>
      </c>
      <c r="G820" s="20" t="s">
        <v>61</v>
      </c>
      <c r="H820" s="20" t="n">
        <v>1</v>
      </c>
      <c r="I820" s="24" t="n">
        <v>35</v>
      </c>
      <c r="J820" s="24" t="n">
        <v>12</v>
      </c>
      <c r="K820" s="24" t="n">
        <f aca="false">H820*I820</f>
        <v>35</v>
      </c>
      <c r="L820" s="24" t="n">
        <f aca="false">K820-H820*J820</f>
        <v>23</v>
      </c>
      <c r="M820" s="20" t="s">
        <v>50</v>
      </c>
    </row>
    <row r="821" customFormat="false" ht="15" hidden="false" customHeight="false" outlineLevel="0" collapsed="false">
      <c r="A821" s="20" t="s">
        <v>612</v>
      </c>
      <c r="B821" s="23" t="n">
        <v>45999</v>
      </c>
      <c r="C821" s="20" t="n">
        <f aca="false">MONTH(B821)</f>
        <v>12</v>
      </c>
      <c r="D821" s="20" t="s">
        <v>552</v>
      </c>
      <c r="E821" s="20" t="s">
        <v>47</v>
      </c>
      <c r="F821" s="20" t="s">
        <v>48</v>
      </c>
      <c r="G821" s="20" t="s">
        <v>49</v>
      </c>
      <c r="H821" s="20" t="n">
        <v>1</v>
      </c>
      <c r="I821" s="24" t="n">
        <v>18</v>
      </c>
      <c r="J821" s="24" t="n">
        <v>5</v>
      </c>
      <c r="K821" s="24" t="n">
        <f aca="false">H821*I821</f>
        <v>18</v>
      </c>
      <c r="L821" s="24" t="n">
        <f aca="false">K821-H821*J821</f>
        <v>13</v>
      </c>
      <c r="M821" s="20" t="s">
        <v>50</v>
      </c>
    </row>
    <row r="822" customFormat="false" ht="15" hidden="false" customHeight="false" outlineLevel="0" collapsed="false">
      <c r="A822" s="20" t="s">
        <v>1485</v>
      </c>
      <c r="B822" s="23" t="n">
        <v>46000</v>
      </c>
      <c r="C822" s="20" t="n">
        <f aca="false">MONTH(B822)</f>
        <v>12</v>
      </c>
      <c r="D822" s="20" t="s">
        <v>214</v>
      </c>
      <c r="E822" s="20" t="s">
        <v>47</v>
      </c>
      <c r="F822" s="20" t="s">
        <v>110</v>
      </c>
      <c r="G822" s="20" t="s">
        <v>236</v>
      </c>
      <c r="H822" s="20" t="n">
        <v>1</v>
      </c>
      <c r="I822" s="24" t="n">
        <v>30</v>
      </c>
      <c r="J822" s="24" t="n">
        <v>11</v>
      </c>
      <c r="K822" s="24" t="n">
        <f aca="false">H822*I822</f>
        <v>30</v>
      </c>
      <c r="L822" s="24" t="n">
        <f aca="false">K822-H822*J822</f>
        <v>19</v>
      </c>
      <c r="M822" s="20" t="s">
        <v>50</v>
      </c>
    </row>
    <row r="823" customFormat="false" ht="15" hidden="false" customHeight="false" outlineLevel="0" collapsed="false">
      <c r="A823" s="20" t="s">
        <v>260</v>
      </c>
      <c r="B823" s="23" t="n">
        <v>46000</v>
      </c>
      <c r="C823" s="20" t="n">
        <f aca="false">MONTH(B823)</f>
        <v>12</v>
      </c>
      <c r="D823" s="20" t="s">
        <v>262</v>
      </c>
      <c r="E823" s="20" t="s">
        <v>47</v>
      </c>
      <c r="F823" s="20" t="s">
        <v>92</v>
      </c>
      <c r="G823" s="20" t="s">
        <v>105</v>
      </c>
      <c r="H823" s="20" t="n">
        <v>1</v>
      </c>
      <c r="I823" s="24" t="n">
        <v>49</v>
      </c>
      <c r="J823" s="24" t="n">
        <v>22</v>
      </c>
      <c r="K823" s="24" t="n">
        <f aca="false">H823*I823</f>
        <v>49</v>
      </c>
      <c r="L823" s="24" t="n">
        <f aca="false">K823-H823*J823</f>
        <v>27</v>
      </c>
      <c r="M823" s="20" t="s">
        <v>50</v>
      </c>
    </row>
    <row r="824" customFormat="false" ht="15" hidden="false" customHeight="false" outlineLevel="0" collapsed="false">
      <c r="A824" s="20" t="s">
        <v>1319</v>
      </c>
      <c r="B824" s="23" t="n">
        <v>46000</v>
      </c>
      <c r="C824" s="20" t="n">
        <f aca="false">MONTH(B824)</f>
        <v>12</v>
      </c>
      <c r="D824" s="20" t="s">
        <v>570</v>
      </c>
      <c r="E824" s="20" t="s">
        <v>47</v>
      </c>
      <c r="F824" s="20" t="s">
        <v>54</v>
      </c>
      <c r="G824" s="20" t="s">
        <v>76</v>
      </c>
      <c r="H824" s="20" t="n">
        <v>2</v>
      </c>
      <c r="I824" s="24" t="n">
        <v>32</v>
      </c>
      <c r="J824" s="24" t="n">
        <v>13</v>
      </c>
      <c r="K824" s="24" t="n">
        <f aca="false">H824*I824</f>
        <v>64</v>
      </c>
      <c r="L824" s="24" t="n">
        <f aca="false">K824-H824*J824</f>
        <v>38</v>
      </c>
      <c r="M824" s="20" t="s">
        <v>50</v>
      </c>
    </row>
    <row r="825" customFormat="false" ht="15" hidden="false" customHeight="false" outlineLevel="0" collapsed="false">
      <c r="A825" s="20" t="s">
        <v>1453</v>
      </c>
      <c r="B825" s="23" t="n">
        <v>46000</v>
      </c>
      <c r="C825" s="20" t="n">
        <f aca="false">MONTH(B825)</f>
        <v>12</v>
      </c>
      <c r="D825" s="20" t="s">
        <v>258</v>
      </c>
      <c r="E825" s="20" t="s">
        <v>70</v>
      </c>
      <c r="F825" s="20" t="s">
        <v>48</v>
      </c>
      <c r="G825" s="20" t="s">
        <v>144</v>
      </c>
      <c r="H825" s="20" t="n">
        <v>1</v>
      </c>
      <c r="I825" s="24" t="n">
        <v>54</v>
      </c>
      <c r="J825" s="24" t="n">
        <v>24</v>
      </c>
      <c r="K825" s="24" t="n">
        <f aca="false">H825*I825</f>
        <v>54</v>
      </c>
      <c r="L825" s="24" t="n">
        <f aca="false">K825-H825*J825</f>
        <v>30</v>
      </c>
      <c r="M825" s="20" t="s">
        <v>50</v>
      </c>
    </row>
    <row r="826" customFormat="false" ht="15" hidden="false" customHeight="false" outlineLevel="0" collapsed="false">
      <c r="A826" s="20" t="s">
        <v>813</v>
      </c>
      <c r="B826" s="23" t="n">
        <v>46001</v>
      </c>
      <c r="C826" s="20" t="n">
        <f aca="false">MONTH(B826)</f>
        <v>12</v>
      </c>
      <c r="D826" s="20" t="s">
        <v>357</v>
      </c>
      <c r="E826" s="20" t="s">
        <v>47</v>
      </c>
      <c r="F826" s="20" t="s">
        <v>54</v>
      </c>
      <c r="G826" s="20" t="s">
        <v>72</v>
      </c>
      <c r="H826" s="20" t="n">
        <v>3</v>
      </c>
      <c r="I826" s="24" t="n">
        <v>24</v>
      </c>
      <c r="J826" s="24" t="n">
        <v>9</v>
      </c>
      <c r="K826" s="24" t="n">
        <f aca="false">H826*I826</f>
        <v>72</v>
      </c>
      <c r="L826" s="24" t="n">
        <f aca="false">K826-H826*J826</f>
        <v>45</v>
      </c>
      <c r="M826" s="20" t="s">
        <v>50</v>
      </c>
    </row>
    <row r="827" customFormat="false" ht="15" hidden="false" customHeight="false" outlineLevel="0" collapsed="false">
      <c r="A827" s="20" t="s">
        <v>946</v>
      </c>
      <c r="B827" s="23" t="n">
        <v>46001</v>
      </c>
      <c r="C827" s="20" t="n">
        <f aca="false">MONTH(B827)</f>
        <v>12</v>
      </c>
      <c r="D827" s="20" t="s">
        <v>415</v>
      </c>
      <c r="E827" s="20" t="s">
        <v>47</v>
      </c>
      <c r="F827" s="20" t="s">
        <v>81</v>
      </c>
      <c r="G827" s="20" t="s">
        <v>82</v>
      </c>
      <c r="H827" s="20" t="n">
        <v>2</v>
      </c>
      <c r="I827" s="24" t="n">
        <v>22</v>
      </c>
      <c r="J827" s="24" t="n">
        <v>8</v>
      </c>
      <c r="K827" s="24" t="n">
        <f aca="false">H827*I827</f>
        <v>44</v>
      </c>
      <c r="L827" s="24" t="n">
        <f aca="false">K827-H827*J827</f>
        <v>28</v>
      </c>
      <c r="M827" s="20" t="s">
        <v>50</v>
      </c>
    </row>
    <row r="828" customFormat="false" ht="15" hidden="false" customHeight="false" outlineLevel="0" collapsed="false">
      <c r="A828" s="20" t="s">
        <v>538</v>
      </c>
      <c r="B828" s="23" t="n">
        <v>46001</v>
      </c>
      <c r="C828" s="20" t="n">
        <f aca="false">MONTH(B828)</f>
        <v>12</v>
      </c>
      <c r="D828" s="20" t="s">
        <v>239</v>
      </c>
      <c r="E828" s="20" t="s">
        <v>59</v>
      </c>
      <c r="F828" s="20" t="s">
        <v>92</v>
      </c>
      <c r="G828" s="20" t="s">
        <v>105</v>
      </c>
      <c r="H828" s="20" t="n">
        <v>1</v>
      </c>
      <c r="I828" s="24" t="n">
        <v>49</v>
      </c>
      <c r="J828" s="24" t="n">
        <v>22</v>
      </c>
      <c r="K828" s="24" t="n">
        <f aca="false">H828*I828</f>
        <v>49</v>
      </c>
      <c r="L828" s="24" t="n">
        <f aca="false">K828-H828*J828</f>
        <v>27</v>
      </c>
      <c r="M828" s="20" t="s">
        <v>50</v>
      </c>
    </row>
    <row r="829" customFormat="false" ht="15" hidden="false" customHeight="false" outlineLevel="0" collapsed="false">
      <c r="A829" s="20" t="s">
        <v>937</v>
      </c>
      <c r="B829" s="23" t="n">
        <v>46001</v>
      </c>
      <c r="C829" s="20" t="n">
        <f aca="false">MONTH(B829)</f>
        <v>12</v>
      </c>
      <c r="D829" s="20" t="s">
        <v>239</v>
      </c>
      <c r="E829" s="20" t="s">
        <v>65</v>
      </c>
      <c r="F829" s="20" t="s">
        <v>92</v>
      </c>
      <c r="G829" s="20" t="s">
        <v>196</v>
      </c>
      <c r="H829" s="20" t="n">
        <v>1</v>
      </c>
      <c r="I829" s="24" t="n">
        <v>89</v>
      </c>
      <c r="J829" s="24" t="n">
        <v>41</v>
      </c>
      <c r="K829" s="24" t="n">
        <f aca="false">H829*I829</f>
        <v>89</v>
      </c>
      <c r="L829" s="24" t="n">
        <f aca="false">K829-H829*J829</f>
        <v>48</v>
      </c>
      <c r="M829" s="20" t="s">
        <v>50</v>
      </c>
    </row>
    <row r="830" customFormat="false" ht="15" hidden="false" customHeight="false" outlineLevel="0" collapsed="false">
      <c r="A830" s="20" t="s">
        <v>1309</v>
      </c>
      <c r="B830" s="23" t="n">
        <v>46001</v>
      </c>
      <c r="C830" s="20" t="n">
        <f aca="false">MONTH(B830)</f>
        <v>12</v>
      </c>
      <c r="D830" s="20" t="s">
        <v>983</v>
      </c>
      <c r="E830" s="20" t="s">
        <v>70</v>
      </c>
      <c r="F830" s="20" t="s">
        <v>92</v>
      </c>
      <c r="G830" s="20" t="s">
        <v>93</v>
      </c>
      <c r="H830" s="20" t="n">
        <v>3</v>
      </c>
      <c r="I830" s="24" t="n">
        <v>15</v>
      </c>
      <c r="J830" s="24" t="n">
        <v>5</v>
      </c>
      <c r="K830" s="24" t="n">
        <f aca="false">H830*I830</f>
        <v>45</v>
      </c>
      <c r="L830" s="24" t="n">
        <f aca="false">K830-H830*J830</f>
        <v>30</v>
      </c>
      <c r="M830" s="20" t="s">
        <v>50</v>
      </c>
    </row>
    <row r="831" customFormat="false" ht="15" hidden="false" customHeight="false" outlineLevel="0" collapsed="false">
      <c r="A831" s="20" t="s">
        <v>1587</v>
      </c>
      <c r="B831" s="23" t="n">
        <v>46002</v>
      </c>
      <c r="C831" s="20" t="n">
        <f aca="false">MONTH(B831)</f>
        <v>12</v>
      </c>
      <c r="D831" s="20" t="s">
        <v>97</v>
      </c>
      <c r="E831" s="20" t="s">
        <v>109</v>
      </c>
      <c r="F831" s="20" t="s">
        <v>92</v>
      </c>
      <c r="G831" s="20" t="s">
        <v>196</v>
      </c>
      <c r="H831" s="20" t="n">
        <v>1</v>
      </c>
      <c r="I831" s="24" t="n">
        <v>89</v>
      </c>
      <c r="J831" s="24" t="n">
        <v>41</v>
      </c>
      <c r="K831" s="24" t="n">
        <f aca="false">H831*I831</f>
        <v>89</v>
      </c>
      <c r="L831" s="24" t="n">
        <f aca="false">K831-H831*J831</f>
        <v>48</v>
      </c>
      <c r="M831" s="20" t="s">
        <v>50</v>
      </c>
    </row>
    <row r="832" customFormat="false" ht="15" hidden="false" customHeight="false" outlineLevel="0" collapsed="false">
      <c r="A832" s="20" t="s">
        <v>1664</v>
      </c>
      <c r="B832" s="23" t="n">
        <v>46002</v>
      </c>
      <c r="C832" s="20" t="n">
        <f aca="false">MONTH(B832)</f>
        <v>12</v>
      </c>
      <c r="D832" s="20" t="s">
        <v>97</v>
      </c>
      <c r="E832" s="20" t="s">
        <v>47</v>
      </c>
      <c r="F832" s="20" t="s">
        <v>110</v>
      </c>
      <c r="G832" s="20" t="s">
        <v>111</v>
      </c>
      <c r="H832" s="20" t="n">
        <v>3</v>
      </c>
      <c r="I832" s="24" t="n">
        <v>16</v>
      </c>
      <c r="J832" s="24" t="n">
        <v>5</v>
      </c>
      <c r="K832" s="24" t="n">
        <f aca="false">H832*I832</f>
        <v>48</v>
      </c>
      <c r="L832" s="24" t="n">
        <f aca="false">K832-H832*J832</f>
        <v>33</v>
      </c>
      <c r="M832" s="20" t="s">
        <v>50</v>
      </c>
    </row>
    <row r="833" customFormat="false" ht="15" hidden="false" customHeight="false" outlineLevel="0" collapsed="false">
      <c r="A833" s="20" t="s">
        <v>1103</v>
      </c>
      <c r="B833" s="23" t="n">
        <v>46002</v>
      </c>
      <c r="C833" s="20" t="n">
        <f aca="false">MONTH(B833)</f>
        <v>12</v>
      </c>
      <c r="D833" s="20" t="s">
        <v>338</v>
      </c>
      <c r="E833" s="20" t="s">
        <v>47</v>
      </c>
      <c r="F833" s="20" t="s">
        <v>110</v>
      </c>
      <c r="G833" s="20" t="s">
        <v>121</v>
      </c>
      <c r="H833" s="20" t="n">
        <v>1</v>
      </c>
      <c r="I833" s="24" t="n">
        <v>21</v>
      </c>
      <c r="J833" s="24" t="n">
        <v>7</v>
      </c>
      <c r="K833" s="24" t="n">
        <f aca="false">H833*I833</f>
        <v>21</v>
      </c>
      <c r="L833" s="24" t="n">
        <f aca="false">K833-H833*J833</f>
        <v>14</v>
      </c>
      <c r="M833" s="20" t="s">
        <v>112</v>
      </c>
    </row>
    <row r="834" customFormat="false" ht="15" hidden="false" customHeight="false" outlineLevel="0" collapsed="false">
      <c r="A834" s="20" t="s">
        <v>1141</v>
      </c>
      <c r="B834" s="23" t="n">
        <v>46002</v>
      </c>
      <c r="C834" s="20" t="n">
        <f aca="false">MONTH(B834)</f>
        <v>12</v>
      </c>
      <c r="D834" s="20" t="s">
        <v>227</v>
      </c>
      <c r="E834" s="20" t="s">
        <v>109</v>
      </c>
      <c r="F834" s="20" t="s">
        <v>81</v>
      </c>
      <c r="G834" s="20" t="s">
        <v>67</v>
      </c>
      <c r="H834" s="20" t="n">
        <v>1</v>
      </c>
      <c r="I834" s="24" t="n">
        <v>45</v>
      </c>
      <c r="J834" s="24" t="n">
        <v>17</v>
      </c>
      <c r="K834" s="24" t="n">
        <f aca="false">H834*I834</f>
        <v>45</v>
      </c>
      <c r="L834" s="24" t="n">
        <f aca="false">K834-H834*J834</f>
        <v>28</v>
      </c>
      <c r="M834" s="20" t="s">
        <v>50</v>
      </c>
    </row>
    <row r="835" customFormat="false" ht="15" hidden="false" customHeight="false" outlineLevel="0" collapsed="false">
      <c r="A835" s="20" t="s">
        <v>1220</v>
      </c>
      <c r="B835" s="23" t="n">
        <v>46002</v>
      </c>
      <c r="C835" s="20" t="n">
        <f aca="false">MONTH(B835)</f>
        <v>12</v>
      </c>
      <c r="D835" s="20" t="s">
        <v>1221</v>
      </c>
      <c r="E835" s="20" t="s">
        <v>109</v>
      </c>
      <c r="F835" s="20" t="s">
        <v>110</v>
      </c>
      <c r="G835" s="20" t="s">
        <v>121</v>
      </c>
      <c r="H835" s="20" t="n">
        <v>2</v>
      </c>
      <c r="I835" s="24" t="n">
        <v>21</v>
      </c>
      <c r="J835" s="24" t="n">
        <v>7</v>
      </c>
      <c r="K835" s="24" t="n">
        <f aca="false">H835*I835</f>
        <v>42</v>
      </c>
      <c r="L835" s="24" t="n">
        <f aca="false">K835-H835*J835</f>
        <v>28</v>
      </c>
      <c r="M835" s="20" t="s">
        <v>112</v>
      </c>
    </row>
    <row r="836" customFormat="false" ht="15" hidden="false" customHeight="false" outlineLevel="0" collapsed="false">
      <c r="A836" s="20" t="s">
        <v>1174</v>
      </c>
      <c r="B836" s="23" t="n">
        <v>46003</v>
      </c>
      <c r="C836" s="20" t="n">
        <f aca="false">MONTH(B836)</f>
        <v>12</v>
      </c>
      <c r="D836" s="20" t="s">
        <v>332</v>
      </c>
      <c r="E836" s="20" t="s">
        <v>59</v>
      </c>
      <c r="F836" s="20" t="s">
        <v>110</v>
      </c>
      <c r="G836" s="20" t="s">
        <v>236</v>
      </c>
      <c r="H836" s="20" t="n">
        <v>2</v>
      </c>
      <c r="I836" s="24" t="n">
        <v>30</v>
      </c>
      <c r="J836" s="24" t="n">
        <v>11</v>
      </c>
      <c r="K836" s="24" t="n">
        <f aca="false">H836*I836</f>
        <v>60</v>
      </c>
      <c r="L836" s="24" t="n">
        <f aca="false">K836-H836*J836</f>
        <v>38</v>
      </c>
      <c r="M836" s="20" t="s">
        <v>50</v>
      </c>
    </row>
    <row r="837" customFormat="false" ht="15" hidden="false" customHeight="false" outlineLevel="0" collapsed="false">
      <c r="A837" s="20" t="s">
        <v>659</v>
      </c>
      <c r="B837" s="23" t="n">
        <v>46003</v>
      </c>
      <c r="C837" s="20" t="n">
        <f aca="false">MONTH(B837)</f>
        <v>12</v>
      </c>
      <c r="D837" s="20" t="s">
        <v>634</v>
      </c>
      <c r="E837" s="20" t="s">
        <v>70</v>
      </c>
      <c r="F837" s="20" t="s">
        <v>110</v>
      </c>
      <c r="G837" s="20" t="s">
        <v>236</v>
      </c>
      <c r="H837" s="20" t="n">
        <v>1</v>
      </c>
      <c r="I837" s="24" t="n">
        <v>30</v>
      </c>
      <c r="J837" s="24" t="n">
        <v>11</v>
      </c>
      <c r="K837" s="24" t="n">
        <f aca="false">H837*I837</f>
        <v>30</v>
      </c>
      <c r="L837" s="24" t="n">
        <f aca="false">K837-H837*J837</f>
        <v>19</v>
      </c>
      <c r="M837" s="20" t="s">
        <v>50</v>
      </c>
    </row>
    <row r="838" customFormat="false" ht="15" hidden="false" customHeight="false" outlineLevel="0" collapsed="false">
      <c r="A838" s="20" t="s">
        <v>1119</v>
      </c>
      <c r="B838" s="23" t="n">
        <v>46003</v>
      </c>
      <c r="C838" s="20" t="n">
        <f aca="false">MONTH(B838)</f>
        <v>12</v>
      </c>
      <c r="D838" s="20" t="s">
        <v>210</v>
      </c>
      <c r="E838" s="20" t="s">
        <v>47</v>
      </c>
      <c r="F838" s="20" t="s">
        <v>92</v>
      </c>
      <c r="G838" s="20" t="s">
        <v>105</v>
      </c>
      <c r="H838" s="20" t="n">
        <v>1</v>
      </c>
      <c r="I838" s="24" t="n">
        <v>49</v>
      </c>
      <c r="J838" s="24" t="n">
        <v>22</v>
      </c>
      <c r="K838" s="24" t="n">
        <f aca="false">H838*I838</f>
        <v>49</v>
      </c>
      <c r="L838" s="24" t="n">
        <f aca="false">K838-H838*J838</f>
        <v>27</v>
      </c>
      <c r="M838" s="20" t="s">
        <v>50</v>
      </c>
    </row>
    <row r="839" customFormat="false" ht="15" hidden="false" customHeight="false" outlineLevel="0" collapsed="false">
      <c r="A839" s="20" t="s">
        <v>727</v>
      </c>
      <c r="B839" s="23" t="n">
        <v>46003</v>
      </c>
      <c r="C839" s="20" t="n">
        <f aca="false">MONTH(B839)</f>
        <v>12</v>
      </c>
      <c r="D839" s="20" t="s">
        <v>97</v>
      </c>
      <c r="E839" s="20" t="s">
        <v>47</v>
      </c>
      <c r="F839" s="20" t="s">
        <v>92</v>
      </c>
      <c r="G839" s="20" t="s">
        <v>196</v>
      </c>
      <c r="H839" s="20" t="n">
        <v>1</v>
      </c>
      <c r="I839" s="24" t="n">
        <v>89</v>
      </c>
      <c r="J839" s="24" t="n">
        <v>41</v>
      </c>
      <c r="K839" s="24" t="n">
        <f aca="false">H839*I839</f>
        <v>89</v>
      </c>
      <c r="L839" s="24" t="n">
        <f aca="false">K839-H839*J839</f>
        <v>48</v>
      </c>
      <c r="M839" s="20" t="s">
        <v>112</v>
      </c>
    </row>
    <row r="840" customFormat="false" ht="15" hidden="false" customHeight="false" outlineLevel="0" collapsed="false">
      <c r="A840" s="20" t="s">
        <v>500</v>
      </c>
      <c r="B840" s="23" t="n">
        <v>46004</v>
      </c>
      <c r="C840" s="20" t="n">
        <f aca="false">MONTH(B840)</f>
        <v>12</v>
      </c>
      <c r="D840" s="20" t="s">
        <v>502</v>
      </c>
      <c r="E840" s="20" t="s">
        <v>47</v>
      </c>
      <c r="F840" s="20" t="s">
        <v>81</v>
      </c>
      <c r="G840" s="20" t="s">
        <v>82</v>
      </c>
      <c r="H840" s="20" t="n">
        <v>1</v>
      </c>
      <c r="I840" s="24" t="n">
        <v>22</v>
      </c>
      <c r="J840" s="24" t="n">
        <v>8</v>
      </c>
      <c r="K840" s="24" t="n">
        <f aca="false">H840*I840</f>
        <v>22</v>
      </c>
      <c r="L840" s="24" t="n">
        <f aca="false">K840-H840*J840</f>
        <v>14</v>
      </c>
      <c r="M840" s="20" t="s">
        <v>50</v>
      </c>
    </row>
    <row r="841" customFormat="false" ht="15" hidden="false" customHeight="false" outlineLevel="0" collapsed="false">
      <c r="A841" s="20" t="s">
        <v>1393</v>
      </c>
      <c r="B841" s="23" t="n">
        <v>46004</v>
      </c>
      <c r="C841" s="20" t="n">
        <f aca="false">MONTH(B841)</f>
        <v>12</v>
      </c>
      <c r="D841" s="20" t="s">
        <v>91</v>
      </c>
      <c r="E841" s="20" t="s">
        <v>59</v>
      </c>
      <c r="F841" s="20" t="s">
        <v>81</v>
      </c>
      <c r="G841" s="20" t="s">
        <v>67</v>
      </c>
      <c r="H841" s="20" t="n">
        <v>2</v>
      </c>
      <c r="I841" s="24" t="n">
        <v>45</v>
      </c>
      <c r="J841" s="24" t="n">
        <v>17</v>
      </c>
      <c r="K841" s="24" t="n">
        <f aca="false">H841*I841</f>
        <v>90</v>
      </c>
      <c r="L841" s="24" t="n">
        <f aca="false">K841-H841*J841</f>
        <v>56</v>
      </c>
      <c r="M841" s="20" t="s">
        <v>50</v>
      </c>
    </row>
    <row r="842" customFormat="false" ht="15" hidden="false" customHeight="false" outlineLevel="0" collapsed="false">
      <c r="A842" s="20" t="s">
        <v>795</v>
      </c>
      <c r="B842" s="23" t="n">
        <v>46004</v>
      </c>
      <c r="C842" s="20" t="n">
        <f aca="false">MONTH(B842)</f>
        <v>12</v>
      </c>
      <c r="D842" s="20" t="s">
        <v>397</v>
      </c>
      <c r="E842" s="20" t="s">
        <v>70</v>
      </c>
      <c r="F842" s="20" t="s">
        <v>48</v>
      </c>
      <c r="G842" s="20" t="s">
        <v>49</v>
      </c>
      <c r="H842" s="20" t="n">
        <v>1</v>
      </c>
      <c r="I842" s="24" t="n">
        <v>18</v>
      </c>
      <c r="J842" s="24" t="n">
        <v>5</v>
      </c>
      <c r="K842" s="24" t="n">
        <f aca="false">H842*I842</f>
        <v>18</v>
      </c>
      <c r="L842" s="24" t="n">
        <f aca="false">K842-H842*J842</f>
        <v>13</v>
      </c>
      <c r="M842" s="20" t="s">
        <v>50</v>
      </c>
    </row>
    <row r="843" customFormat="false" ht="15" hidden="false" customHeight="false" outlineLevel="0" collapsed="false">
      <c r="A843" s="20" t="s">
        <v>676</v>
      </c>
      <c r="B843" s="23" t="n">
        <v>46004</v>
      </c>
      <c r="C843" s="20" t="n">
        <f aca="false">MONTH(B843)</f>
        <v>12</v>
      </c>
      <c r="D843" s="20" t="s">
        <v>192</v>
      </c>
      <c r="E843" s="20" t="s">
        <v>59</v>
      </c>
      <c r="F843" s="20" t="s">
        <v>81</v>
      </c>
      <c r="G843" s="20" t="s">
        <v>82</v>
      </c>
      <c r="H843" s="20" t="n">
        <v>1</v>
      </c>
      <c r="I843" s="24" t="n">
        <v>22</v>
      </c>
      <c r="J843" s="24" t="n">
        <v>8</v>
      </c>
      <c r="K843" s="24" t="n">
        <f aca="false">H843*I843</f>
        <v>22</v>
      </c>
      <c r="L843" s="24" t="n">
        <f aca="false">K843-H843*J843</f>
        <v>14</v>
      </c>
      <c r="M843" s="20" t="s">
        <v>50</v>
      </c>
    </row>
    <row r="844" customFormat="false" ht="15" hidden="false" customHeight="false" outlineLevel="0" collapsed="false">
      <c r="A844" s="20" t="s">
        <v>1227</v>
      </c>
      <c r="B844" s="23" t="n">
        <v>46004</v>
      </c>
      <c r="C844" s="20" t="n">
        <f aca="false">MONTH(B844)</f>
        <v>12</v>
      </c>
      <c r="D844" s="20" t="s">
        <v>161</v>
      </c>
      <c r="E844" s="20" t="s">
        <v>59</v>
      </c>
      <c r="F844" s="20" t="s">
        <v>81</v>
      </c>
      <c r="G844" s="20" t="s">
        <v>82</v>
      </c>
      <c r="H844" s="20" t="n">
        <v>1</v>
      </c>
      <c r="I844" s="24" t="n">
        <v>22</v>
      </c>
      <c r="J844" s="24" t="n">
        <v>8</v>
      </c>
      <c r="K844" s="24" t="n">
        <f aca="false">H844*I844</f>
        <v>22</v>
      </c>
      <c r="L844" s="24" t="n">
        <f aca="false">K844-H844*J844</f>
        <v>14</v>
      </c>
      <c r="M844" s="20" t="s">
        <v>112</v>
      </c>
    </row>
    <row r="845" customFormat="false" ht="15" hidden="false" customHeight="false" outlineLevel="0" collapsed="false">
      <c r="A845" s="20" t="s">
        <v>654</v>
      </c>
      <c r="B845" s="23" t="n">
        <v>46005</v>
      </c>
      <c r="C845" s="20" t="n">
        <f aca="false">MONTH(B845)</f>
        <v>12</v>
      </c>
      <c r="D845" s="20" t="s">
        <v>210</v>
      </c>
      <c r="E845" s="20" t="s">
        <v>65</v>
      </c>
      <c r="F845" s="20" t="s">
        <v>54</v>
      </c>
      <c r="G845" s="20" t="s">
        <v>76</v>
      </c>
      <c r="H845" s="20" t="n">
        <v>1</v>
      </c>
      <c r="I845" s="24" t="n">
        <v>32</v>
      </c>
      <c r="J845" s="24" t="n">
        <v>13</v>
      </c>
      <c r="K845" s="24" t="n">
        <f aca="false">H845*I845</f>
        <v>32</v>
      </c>
      <c r="L845" s="24" t="n">
        <f aca="false">K845-H845*J845</f>
        <v>19</v>
      </c>
      <c r="M845" s="20" t="s">
        <v>50</v>
      </c>
    </row>
    <row r="846" customFormat="false" ht="15" hidden="false" customHeight="false" outlineLevel="0" collapsed="false">
      <c r="A846" s="20" t="s">
        <v>267</v>
      </c>
      <c r="B846" s="23" t="n">
        <v>46005</v>
      </c>
      <c r="C846" s="20" t="n">
        <f aca="false">MONTH(B846)</f>
        <v>12</v>
      </c>
      <c r="D846" s="20" t="s">
        <v>269</v>
      </c>
      <c r="E846" s="20" t="s">
        <v>47</v>
      </c>
      <c r="F846" s="20" t="s">
        <v>48</v>
      </c>
      <c r="G846" s="20" t="s">
        <v>49</v>
      </c>
      <c r="H846" s="20" t="n">
        <v>1</v>
      </c>
      <c r="I846" s="24" t="n">
        <v>18</v>
      </c>
      <c r="J846" s="24" t="n">
        <v>5</v>
      </c>
      <c r="K846" s="24" t="n">
        <f aca="false">H846*I846</f>
        <v>18</v>
      </c>
      <c r="L846" s="24" t="n">
        <f aca="false">K846-H846*J846</f>
        <v>13</v>
      </c>
      <c r="M846" s="20" t="s">
        <v>50</v>
      </c>
    </row>
    <row r="847" customFormat="false" ht="15" hidden="false" customHeight="false" outlineLevel="0" collapsed="false">
      <c r="A847" s="20" t="s">
        <v>886</v>
      </c>
      <c r="B847" s="23" t="n">
        <v>46007</v>
      </c>
      <c r="C847" s="20" t="n">
        <f aca="false">MONTH(B847)</f>
        <v>12</v>
      </c>
      <c r="D847" s="20" t="s">
        <v>139</v>
      </c>
      <c r="E847" s="20" t="s">
        <v>109</v>
      </c>
      <c r="F847" s="20" t="s">
        <v>92</v>
      </c>
      <c r="G847" s="20" t="s">
        <v>105</v>
      </c>
      <c r="H847" s="20" t="n">
        <v>3</v>
      </c>
      <c r="I847" s="24" t="n">
        <v>49</v>
      </c>
      <c r="J847" s="24" t="n">
        <v>22</v>
      </c>
      <c r="K847" s="24" t="n">
        <f aca="false">H847*I847</f>
        <v>147</v>
      </c>
      <c r="L847" s="24" t="n">
        <f aca="false">K847-H847*J847</f>
        <v>81</v>
      </c>
      <c r="M847" s="20" t="s">
        <v>50</v>
      </c>
    </row>
    <row r="848" customFormat="false" ht="15" hidden="false" customHeight="false" outlineLevel="0" collapsed="false">
      <c r="A848" s="20" t="s">
        <v>1501</v>
      </c>
      <c r="B848" s="23" t="n">
        <v>46007</v>
      </c>
      <c r="C848" s="20" t="n">
        <f aca="false">MONTH(B848)</f>
        <v>12</v>
      </c>
      <c r="D848" s="20" t="s">
        <v>357</v>
      </c>
      <c r="E848" s="20" t="s">
        <v>70</v>
      </c>
      <c r="F848" s="20" t="s">
        <v>54</v>
      </c>
      <c r="G848" s="20" t="s">
        <v>76</v>
      </c>
      <c r="H848" s="20" t="n">
        <v>2</v>
      </c>
      <c r="I848" s="24" t="n">
        <v>32</v>
      </c>
      <c r="J848" s="24" t="n">
        <v>13</v>
      </c>
      <c r="K848" s="24" t="n">
        <f aca="false">H848*I848</f>
        <v>64</v>
      </c>
      <c r="L848" s="24" t="n">
        <f aca="false">K848-H848*J848</f>
        <v>38</v>
      </c>
      <c r="M848" s="20" t="s">
        <v>50</v>
      </c>
    </row>
    <row r="849" customFormat="false" ht="15" hidden="false" customHeight="false" outlineLevel="0" collapsed="false">
      <c r="A849" s="20" t="s">
        <v>823</v>
      </c>
      <c r="B849" s="23" t="n">
        <v>46007</v>
      </c>
      <c r="C849" s="20" t="n">
        <f aca="false">MONTH(B849)</f>
        <v>12</v>
      </c>
      <c r="D849" s="20" t="s">
        <v>422</v>
      </c>
      <c r="E849" s="20" t="s">
        <v>59</v>
      </c>
      <c r="F849" s="20" t="s">
        <v>81</v>
      </c>
      <c r="G849" s="20" t="s">
        <v>67</v>
      </c>
      <c r="H849" s="20" t="n">
        <v>1</v>
      </c>
      <c r="I849" s="24" t="n">
        <v>45</v>
      </c>
      <c r="J849" s="24" t="n">
        <v>17</v>
      </c>
      <c r="K849" s="24" t="n">
        <f aca="false">H849*I849</f>
        <v>45</v>
      </c>
      <c r="L849" s="24" t="n">
        <f aca="false">K849-H849*J849</f>
        <v>28</v>
      </c>
      <c r="M849" s="20" t="s">
        <v>50</v>
      </c>
    </row>
    <row r="850" customFormat="false" ht="15" hidden="false" customHeight="false" outlineLevel="0" collapsed="false">
      <c r="A850" s="20" t="s">
        <v>1667</v>
      </c>
      <c r="B850" s="23" t="n">
        <v>46007</v>
      </c>
      <c r="C850" s="20" t="n">
        <f aca="false">MONTH(B850)</f>
        <v>12</v>
      </c>
      <c r="D850" s="20" t="s">
        <v>719</v>
      </c>
      <c r="E850" s="20" t="s">
        <v>59</v>
      </c>
      <c r="F850" s="20" t="s">
        <v>48</v>
      </c>
      <c r="G850" s="20" t="s">
        <v>144</v>
      </c>
      <c r="H850" s="20" t="n">
        <v>1</v>
      </c>
      <c r="I850" s="24" t="n">
        <v>54</v>
      </c>
      <c r="J850" s="24" t="n">
        <v>24</v>
      </c>
      <c r="K850" s="24" t="n">
        <f aca="false">H850*I850</f>
        <v>54</v>
      </c>
      <c r="L850" s="24" t="n">
        <f aca="false">K850-H850*J850</f>
        <v>30</v>
      </c>
      <c r="M850" s="20" t="s">
        <v>50</v>
      </c>
    </row>
    <row r="851" customFormat="false" ht="15" hidden="false" customHeight="false" outlineLevel="0" collapsed="false">
      <c r="A851" s="20" t="s">
        <v>777</v>
      </c>
      <c r="B851" s="23" t="n">
        <v>46007</v>
      </c>
      <c r="C851" s="20" t="n">
        <f aca="false">MONTH(B851)</f>
        <v>12</v>
      </c>
      <c r="D851" s="20" t="s">
        <v>380</v>
      </c>
      <c r="E851" s="20" t="s">
        <v>59</v>
      </c>
      <c r="F851" s="20" t="s">
        <v>110</v>
      </c>
      <c r="G851" s="20" t="s">
        <v>121</v>
      </c>
      <c r="H851" s="20" t="n">
        <v>1</v>
      </c>
      <c r="I851" s="24" t="n">
        <v>21</v>
      </c>
      <c r="J851" s="24" t="n">
        <v>7</v>
      </c>
      <c r="K851" s="24" t="n">
        <f aca="false">H851*I851</f>
        <v>21</v>
      </c>
      <c r="L851" s="24" t="n">
        <f aca="false">K851-H851*J851</f>
        <v>14</v>
      </c>
      <c r="M851" s="20" t="s">
        <v>112</v>
      </c>
    </row>
    <row r="852" customFormat="false" ht="15" hidden="false" customHeight="false" outlineLevel="0" collapsed="false">
      <c r="A852" s="20" t="s">
        <v>842</v>
      </c>
      <c r="B852" s="23" t="n">
        <v>46008</v>
      </c>
      <c r="C852" s="20" t="n">
        <f aca="false">MONTH(B852)</f>
        <v>12</v>
      </c>
      <c r="D852" s="20" t="s">
        <v>843</v>
      </c>
      <c r="E852" s="20" t="s">
        <v>59</v>
      </c>
      <c r="F852" s="20" t="s">
        <v>92</v>
      </c>
      <c r="G852" s="20" t="s">
        <v>105</v>
      </c>
      <c r="H852" s="20" t="n">
        <v>2</v>
      </c>
      <c r="I852" s="24" t="n">
        <v>49</v>
      </c>
      <c r="J852" s="24" t="n">
        <v>22</v>
      </c>
      <c r="K852" s="24" t="n">
        <f aca="false">H852*I852</f>
        <v>98</v>
      </c>
      <c r="L852" s="24" t="n">
        <f aca="false">K852-H852*J852</f>
        <v>54</v>
      </c>
      <c r="M852" s="20" t="s">
        <v>50</v>
      </c>
    </row>
    <row r="853" customFormat="false" ht="15" hidden="false" customHeight="false" outlineLevel="0" collapsed="false">
      <c r="A853" s="20" t="s">
        <v>930</v>
      </c>
      <c r="B853" s="23" t="n">
        <v>46008</v>
      </c>
      <c r="C853" s="20" t="n">
        <f aca="false">MONTH(B853)</f>
        <v>12</v>
      </c>
      <c r="D853" s="20" t="s">
        <v>192</v>
      </c>
      <c r="E853" s="20" t="s">
        <v>47</v>
      </c>
      <c r="F853" s="20" t="s">
        <v>110</v>
      </c>
      <c r="G853" s="20" t="s">
        <v>121</v>
      </c>
      <c r="H853" s="20" t="n">
        <v>1</v>
      </c>
      <c r="I853" s="24" t="n">
        <v>21</v>
      </c>
      <c r="J853" s="24" t="n">
        <v>7</v>
      </c>
      <c r="K853" s="24" t="n">
        <f aca="false">H853*I853</f>
        <v>21</v>
      </c>
      <c r="L853" s="24" t="n">
        <f aca="false">K853-H853*J853</f>
        <v>14</v>
      </c>
      <c r="M853" s="20" t="s">
        <v>50</v>
      </c>
    </row>
    <row r="854" customFormat="false" ht="15" hidden="false" customHeight="false" outlineLevel="0" collapsed="false">
      <c r="A854" s="20" t="s">
        <v>1550</v>
      </c>
      <c r="B854" s="23" t="n">
        <v>46008</v>
      </c>
      <c r="C854" s="20" t="n">
        <f aca="false">MONTH(B854)</f>
        <v>12</v>
      </c>
      <c r="D854" s="20" t="s">
        <v>1028</v>
      </c>
      <c r="E854" s="20" t="s">
        <v>59</v>
      </c>
      <c r="F854" s="20" t="s">
        <v>54</v>
      </c>
      <c r="G854" s="20" t="s">
        <v>72</v>
      </c>
      <c r="H854" s="20" t="n">
        <v>3</v>
      </c>
      <c r="I854" s="24" t="n">
        <v>24</v>
      </c>
      <c r="J854" s="24" t="n">
        <v>9</v>
      </c>
      <c r="K854" s="24" t="n">
        <f aca="false">H854*I854</f>
        <v>72</v>
      </c>
      <c r="L854" s="24" t="n">
        <f aca="false">K854-H854*J854</f>
        <v>45</v>
      </c>
      <c r="M854" s="20" t="s">
        <v>112</v>
      </c>
    </row>
    <row r="855" customFormat="false" ht="15" hidden="false" customHeight="false" outlineLevel="0" collapsed="false">
      <c r="A855" s="20" t="s">
        <v>1015</v>
      </c>
      <c r="B855" s="23" t="n">
        <v>46008</v>
      </c>
      <c r="C855" s="20" t="n">
        <f aca="false">MONTH(B855)</f>
        <v>12</v>
      </c>
      <c r="D855" s="20" t="s">
        <v>494</v>
      </c>
      <c r="E855" s="20" t="s">
        <v>59</v>
      </c>
      <c r="F855" s="20" t="s">
        <v>110</v>
      </c>
      <c r="G855" s="20" t="s">
        <v>111</v>
      </c>
      <c r="H855" s="20" t="n">
        <v>2</v>
      </c>
      <c r="I855" s="24" t="n">
        <v>16</v>
      </c>
      <c r="J855" s="24" t="n">
        <v>5</v>
      </c>
      <c r="K855" s="24" t="n">
        <f aca="false">H855*I855</f>
        <v>32</v>
      </c>
      <c r="L855" s="24" t="n">
        <f aca="false">K855-H855*J855</f>
        <v>22</v>
      </c>
      <c r="M855" s="20" t="s">
        <v>50</v>
      </c>
    </row>
    <row r="856" customFormat="false" ht="15" hidden="false" customHeight="false" outlineLevel="0" collapsed="false">
      <c r="A856" s="20" t="s">
        <v>1465</v>
      </c>
      <c r="B856" s="23" t="n">
        <v>46009</v>
      </c>
      <c r="C856" s="20" t="n">
        <f aca="false">MONTH(B856)</f>
        <v>12</v>
      </c>
      <c r="D856" s="20" t="s">
        <v>1010</v>
      </c>
      <c r="E856" s="20" t="s">
        <v>109</v>
      </c>
      <c r="F856" s="20" t="s">
        <v>54</v>
      </c>
      <c r="G856" s="20" t="s">
        <v>76</v>
      </c>
      <c r="H856" s="20" t="n">
        <v>1</v>
      </c>
      <c r="I856" s="24" t="n">
        <v>32</v>
      </c>
      <c r="J856" s="24" t="n">
        <v>13</v>
      </c>
      <c r="K856" s="24" t="n">
        <f aca="false">H856*I856</f>
        <v>32</v>
      </c>
      <c r="L856" s="24" t="n">
        <f aca="false">K856-H856*J856</f>
        <v>19</v>
      </c>
      <c r="M856" s="20" t="s">
        <v>50</v>
      </c>
    </row>
    <row r="857" customFormat="false" ht="15" hidden="false" customHeight="false" outlineLevel="0" collapsed="false">
      <c r="A857" s="20" t="s">
        <v>1672</v>
      </c>
      <c r="B857" s="23" t="n">
        <v>46009</v>
      </c>
      <c r="C857" s="20" t="n">
        <f aca="false">MONTH(B857)</f>
        <v>12</v>
      </c>
      <c r="D857" s="20" t="s">
        <v>286</v>
      </c>
      <c r="E857" s="20" t="s">
        <v>47</v>
      </c>
      <c r="F857" s="20" t="s">
        <v>92</v>
      </c>
      <c r="G857" s="20" t="s">
        <v>93</v>
      </c>
      <c r="H857" s="20" t="n">
        <v>1</v>
      </c>
      <c r="I857" s="24" t="n">
        <v>15</v>
      </c>
      <c r="J857" s="24" t="n">
        <v>5</v>
      </c>
      <c r="K857" s="24" t="n">
        <f aca="false">H857*I857</f>
        <v>15</v>
      </c>
      <c r="L857" s="24" t="n">
        <f aca="false">K857-H857*J857</f>
        <v>10</v>
      </c>
      <c r="M857" s="20" t="s">
        <v>50</v>
      </c>
    </row>
    <row r="858" customFormat="false" ht="15" hidden="false" customHeight="false" outlineLevel="0" collapsed="false">
      <c r="A858" s="20" t="s">
        <v>933</v>
      </c>
      <c r="B858" s="23" t="n">
        <v>46009</v>
      </c>
      <c r="C858" s="20" t="n">
        <f aca="false">MONTH(B858)</f>
        <v>12</v>
      </c>
      <c r="D858" s="20" t="s">
        <v>934</v>
      </c>
      <c r="E858" s="20" t="s">
        <v>47</v>
      </c>
      <c r="F858" s="20" t="s">
        <v>92</v>
      </c>
      <c r="G858" s="20" t="s">
        <v>105</v>
      </c>
      <c r="H858" s="20" t="n">
        <v>1</v>
      </c>
      <c r="I858" s="24" t="n">
        <v>49</v>
      </c>
      <c r="J858" s="24" t="n">
        <v>22</v>
      </c>
      <c r="K858" s="24" t="n">
        <f aca="false">H858*I858</f>
        <v>49</v>
      </c>
      <c r="L858" s="24" t="n">
        <f aca="false">K858-H858*J858</f>
        <v>27</v>
      </c>
      <c r="M858" s="20" t="s">
        <v>50</v>
      </c>
    </row>
    <row r="859" customFormat="false" ht="15" hidden="false" customHeight="false" outlineLevel="0" collapsed="false">
      <c r="A859" s="20" t="s">
        <v>1121</v>
      </c>
      <c r="B859" s="23" t="n">
        <v>46009</v>
      </c>
      <c r="C859" s="20" t="n">
        <f aca="false">MONTH(B859)</f>
        <v>12</v>
      </c>
      <c r="D859" s="20" t="s">
        <v>129</v>
      </c>
      <c r="E859" s="20" t="s">
        <v>109</v>
      </c>
      <c r="F859" s="20" t="s">
        <v>54</v>
      </c>
      <c r="G859" s="20" t="s">
        <v>72</v>
      </c>
      <c r="H859" s="20" t="n">
        <v>1</v>
      </c>
      <c r="I859" s="24" t="n">
        <v>24</v>
      </c>
      <c r="J859" s="24" t="n">
        <v>9</v>
      </c>
      <c r="K859" s="24" t="n">
        <f aca="false">H859*I859</f>
        <v>24</v>
      </c>
      <c r="L859" s="24" t="n">
        <f aca="false">K859-H859*J859</f>
        <v>15</v>
      </c>
      <c r="M859" s="20" t="s">
        <v>50</v>
      </c>
    </row>
    <row r="860" customFormat="false" ht="15" hidden="false" customHeight="false" outlineLevel="0" collapsed="false">
      <c r="A860" s="20" t="s">
        <v>645</v>
      </c>
      <c r="B860" s="23" t="n">
        <v>46009</v>
      </c>
      <c r="C860" s="20" t="n">
        <f aca="false">MONTH(B860)</f>
        <v>12</v>
      </c>
      <c r="D860" s="20" t="s">
        <v>100</v>
      </c>
      <c r="E860" s="20" t="s">
        <v>65</v>
      </c>
      <c r="F860" s="20" t="s">
        <v>81</v>
      </c>
      <c r="G860" s="20" t="s">
        <v>67</v>
      </c>
      <c r="H860" s="20" t="n">
        <v>1</v>
      </c>
      <c r="I860" s="24" t="n">
        <v>45</v>
      </c>
      <c r="J860" s="24" t="n">
        <v>17</v>
      </c>
      <c r="K860" s="24" t="n">
        <f aca="false">H860*I860</f>
        <v>45</v>
      </c>
      <c r="L860" s="24" t="n">
        <f aca="false">K860-H860*J860</f>
        <v>28</v>
      </c>
      <c r="M860" s="20" t="s">
        <v>50</v>
      </c>
    </row>
    <row r="861" customFormat="false" ht="15" hidden="false" customHeight="false" outlineLevel="0" collapsed="false">
      <c r="A861" s="20" t="s">
        <v>595</v>
      </c>
      <c r="B861" s="23" t="n">
        <v>46010</v>
      </c>
      <c r="C861" s="20" t="n">
        <f aca="false">MONTH(B861)</f>
        <v>12</v>
      </c>
      <c r="D861" s="20" t="s">
        <v>64</v>
      </c>
      <c r="E861" s="20" t="s">
        <v>70</v>
      </c>
      <c r="F861" s="20" t="s">
        <v>48</v>
      </c>
      <c r="G861" s="20" t="s">
        <v>49</v>
      </c>
      <c r="H861" s="20" t="n">
        <v>1</v>
      </c>
      <c r="I861" s="24" t="n">
        <v>18</v>
      </c>
      <c r="J861" s="24" t="n">
        <v>5</v>
      </c>
      <c r="K861" s="24" t="n">
        <f aca="false">H861*I861</f>
        <v>18</v>
      </c>
      <c r="L861" s="24" t="n">
        <f aca="false">K861-H861*J861</f>
        <v>13</v>
      </c>
      <c r="M861" s="20" t="s">
        <v>50</v>
      </c>
    </row>
    <row r="862" customFormat="false" ht="15" hidden="false" customHeight="false" outlineLevel="0" collapsed="false">
      <c r="A862" s="20" t="s">
        <v>193</v>
      </c>
      <c r="B862" s="23" t="n">
        <v>46010</v>
      </c>
      <c r="C862" s="20" t="n">
        <f aca="false">MONTH(B862)</f>
        <v>12</v>
      </c>
      <c r="D862" s="20" t="s">
        <v>195</v>
      </c>
      <c r="E862" s="20" t="s">
        <v>70</v>
      </c>
      <c r="F862" s="20" t="s">
        <v>92</v>
      </c>
      <c r="G862" s="20" t="s">
        <v>196</v>
      </c>
      <c r="H862" s="20" t="n">
        <v>1</v>
      </c>
      <c r="I862" s="24" t="n">
        <v>89</v>
      </c>
      <c r="J862" s="24" t="n">
        <v>41</v>
      </c>
      <c r="K862" s="24" t="n">
        <f aca="false">H862*I862</f>
        <v>89</v>
      </c>
      <c r="L862" s="24" t="n">
        <f aca="false">K862-H862*J862</f>
        <v>48</v>
      </c>
      <c r="M862" s="20" t="s">
        <v>50</v>
      </c>
    </row>
    <row r="863" customFormat="false" ht="15" hidden="false" customHeight="false" outlineLevel="0" collapsed="false">
      <c r="A863" s="20" t="s">
        <v>898</v>
      </c>
      <c r="B863" s="23" t="n">
        <v>46010</v>
      </c>
      <c r="C863" s="20" t="n">
        <f aca="false">MONTH(B863)</f>
        <v>12</v>
      </c>
      <c r="D863" s="20" t="s">
        <v>174</v>
      </c>
      <c r="E863" s="20" t="s">
        <v>65</v>
      </c>
      <c r="F863" s="20" t="s">
        <v>54</v>
      </c>
      <c r="G863" s="20" t="s">
        <v>76</v>
      </c>
      <c r="H863" s="20" t="n">
        <v>2</v>
      </c>
      <c r="I863" s="24" t="n">
        <v>32</v>
      </c>
      <c r="J863" s="24" t="n">
        <v>13</v>
      </c>
      <c r="K863" s="24" t="n">
        <f aca="false">H863*I863</f>
        <v>64</v>
      </c>
      <c r="L863" s="24" t="n">
        <f aca="false">K863-H863*J863</f>
        <v>38</v>
      </c>
      <c r="M863" s="20" t="s">
        <v>50</v>
      </c>
    </row>
    <row r="864" customFormat="false" ht="15" hidden="false" customHeight="false" outlineLevel="0" collapsed="false">
      <c r="A864" s="20" t="s">
        <v>1064</v>
      </c>
      <c r="B864" s="23" t="n">
        <v>46010</v>
      </c>
      <c r="C864" s="20" t="n">
        <f aca="false">MONTH(B864)</f>
        <v>12</v>
      </c>
      <c r="D864" s="20" t="s">
        <v>483</v>
      </c>
      <c r="E864" s="20" t="s">
        <v>47</v>
      </c>
      <c r="F864" s="20" t="s">
        <v>81</v>
      </c>
      <c r="G864" s="20" t="s">
        <v>82</v>
      </c>
      <c r="H864" s="20" t="n">
        <v>2</v>
      </c>
      <c r="I864" s="24" t="n">
        <v>22</v>
      </c>
      <c r="J864" s="24" t="n">
        <v>8</v>
      </c>
      <c r="K864" s="24" t="n">
        <f aca="false">H864*I864</f>
        <v>44</v>
      </c>
      <c r="L864" s="24" t="n">
        <f aca="false">K864-H864*J864</f>
        <v>28</v>
      </c>
      <c r="M864" s="20" t="s">
        <v>50</v>
      </c>
    </row>
    <row r="865" customFormat="false" ht="15" hidden="false" customHeight="false" outlineLevel="0" collapsed="false">
      <c r="A865" s="20" t="s">
        <v>904</v>
      </c>
      <c r="B865" s="23" t="n">
        <v>46010</v>
      </c>
      <c r="C865" s="20" t="n">
        <f aca="false">MONTH(B865)</f>
        <v>12</v>
      </c>
      <c r="D865" s="20" t="s">
        <v>447</v>
      </c>
      <c r="E865" s="20" t="s">
        <v>59</v>
      </c>
      <c r="F865" s="20" t="s">
        <v>48</v>
      </c>
      <c r="G865" s="20" t="s">
        <v>116</v>
      </c>
      <c r="H865" s="20" t="n">
        <v>2</v>
      </c>
      <c r="I865" s="24" t="n">
        <v>28</v>
      </c>
      <c r="J865" s="24" t="n">
        <v>9</v>
      </c>
      <c r="K865" s="24" t="n">
        <f aca="false">H865*I865</f>
        <v>56</v>
      </c>
      <c r="L865" s="24" t="n">
        <f aca="false">K865-H865*J865</f>
        <v>38</v>
      </c>
      <c r="M865" s="20" t="s">
        <v>50</v>
      </c>
    </row>
    <row r="866" customFormat="false" ht="15" hidden="false" customHeight="false" outlineLevel="0" collapsed="false">
      <c r="A866" s="20" t="s">
        <v>1386</v>
      </c>
      <c r="B866" s="23" t="n">
        <v>46010</v>
      </c>
      <c r="C866" s="20" t="n">
        <f aca="false">MONTH(B866)</f>
        <v>12</v>
      </c>
      <c r="D866" s="20" t="s">
        <v>483</v>
      </c>
      <c r="E866" s="20" t="s">
        <v>70</v>
      </c>
      <c r="F866" s="20" t="s">
        <v>48</v>
      </c>
      <c r="G866" s="20" t="s">
        <v>116</v>
      </c>
      <c r="H866" s="20" t="n">
        <v>4</v>
      </c>
      <c r="I866" s="24" t="n">
        <v>28</v>
      </c>
      <c r="J866" s="24" t="n">
        <v>9</v>
      </c>
      <c r="K866" s="24" t="n">
        <f aca="false">H866*I866</f>
        <v>112</v>
      </c>
      <c r="L866" s="24" t="n">
        <f aca="false">K866-H866*J866</f>
        <v>76</v>
      </c>
      <c r="M866" s="20" t="s">
        <v>50</v>
      </c>
    </row>
    <row r="867" customFormat="false" ht="15" hidden="false" customHeight="false" outlineLevel="0" collapsed="false">
      <c r="A867" s="20" t="s">
        <v>1098</v>
      </c>
      <c r="B867" s="23" t="n">
        <v>46010</v>
      </c>
      <c r="C867" s="20" t="n">
        <f aca="false">MONTH(B867)</f>
        <v>12</v>
      </c>
      <c r="D867" s="20" t="s">
        <v>210</v>
      </c>
      <c r="E867" s="20" t="s">
        <v>109</v>
      </c>
      <c r="F867" s="20" t="s">
        <v>81</v>
      </c>
      <c r="G867" s="20" t="s">
        <v>61</v>
      </c>
      <c r="H867" s="20" t="n">
        <v>2</v>
      </c>
      <c r="I867" s="24" t="n">
        <v>35</v>
      </c>
      <c r="J867" s="24" t="n">
        <v>12</v>
      </c>
      <c r="K867" s="24" t="n">
        <f aca="false">H867*I867</f>
        <v>70</v>
      </c>
      <c r="L867" s="24" t="n">
        <f aca="false">K867-H867*J867</f>
        <v>46</v>
      </c>
      <c r="M867" s="20" t="s">
        <v>50</v>
      </c>
    </row>
    <row r="868" customFormat="false" ht="15" hidden="false" customHeight="false" outlineLevel="0" collapsed="false">
      <c r="A868" s="20" t="s">
        <v>407</v>
      </c>
      <c r="B868" s="23" t="n">
        <v>46010</v>
      </c>
      <c r="C868" s="20" t="n">
        <f aca="false">MONTH(B868)</f>
        <v>12</v>
      </c>
      <c r="D868" s="20" t="s">
        <v>100</v>
      </c>
      <c r="E868" s="20" t="s">
        <v>47</v>
      </c>
      <c r="F868" s="20" t="s">
        <v>92</v>
      </c>
      <c r="G868" s="20" t="s">
        <v>93</v>
      </c>
      <c r="H868" s="20" t="n">
        <v>1</v>
      </c>
      <c r="I868" s="24" t="n">
        <v>15</v>
      </c>
      <c r="J868" s="24" t="n">
        <v>5</v>
      </c>
      <c r="K868" s="24" t="n">
        <f aca="false">H868*I868</f>
        <v>15</v>
      </c>
      <c r="L868" s="24" t="n">
        <f aca="false">K868-H868*J868</f>
        <v>10</v>
      </c>
      <c r="M868" s="20" t="s">
        <v>50</v>
      </c>
    </row>
    <row r="869" customFormat="false" ht="15" hidden="false" customHeight="false" outlineLevel="0" collapsed="false">
      <c r="A869" s="20" t="s">
        <v>200</v>
      </c>
      <c r="B869" s="23" t="n">
        <v>46011</v>
      </c>
      <c r="C869" s="20" t="n">
        <f aca="false">MONTH(B869)</f>
        <v>12</v>
      </c>
      <c r="D869" s="20" t="s">
        <v>75</v>
      </c>
      <c r="E869" s="20" t="s">
        <v>59</v>
      </c>
      <c r="F869" s="20" t="s">
        <v>54</v>
      </c>
      <c r="G869" s="20" t="s">
        <v>55</v>
      </c>
      <c r="H869" s="20" t="n">
        <v>2</v>
      </c>
      <c r="I869" s="24" t="n">
        <v>38</v>
      </c>
      <c r="J869" s="24" t="n">
        <v>16</v>
      </c>
      <c r="K869" s="24" t="n">
        <f aca="false">H869*I869</f>
        <v>76</v>
      </c>
      <c r="L869" s="24" t="n">
        <f aca="false">K869-H869*J869</f>
        <v>44</v>
      </c>
      <c r="M869" s="20" t="s">
        <v>50</v>
      </c>
    </row>
    <row r="870" customFormat="false" ht="15" hidden="false" customHeight="false" outlineLevel="0" collapsed="false">
      <c r="A870" s="20" t="s">
        <v>1595</v>
      </c>
      <c r="B870" s="23" t="n">
        <v>46011</v>
      </c>
      <c r="C870" s="20" t="n">
        <f aca="false">MONTH(B870)</f>
        <v>12</v>
      </c>
      <c r="D870" s="20" t="s">
        <v>486</v>
      </c>
      <c r="E870" s="20" t="s">
        <v>59</v>
      </c>
      <c r="F870" s="20" t="s">
        <v>81</v>
      </c>
      <c r="G870" s="20" t="s">
        <v>67</v>
      </c>
      <c r="H870" s="20" t="n">
        <v>2</v>
      </c>
      <c r="I870" s="24" t="n">
        <v>45</v>
      </c>
      <c r="J870" s="24" t="n">
        <v>17</v>
      </c>
      <c r="K870" s="24" t="n">
        <f aca="false">H870*I870</f>
        <v>90</v>
      </c>
      <c r="L870" s="24" t="n">
        <f aca="false">K870-H870*J870</f>
        <v>56</v>
      </c>
      <c r="M870" s="20" t="s">
        <v>50</v>
      </c>
    </row>
    <row r="871" customFormat="false" ht="15" hidden="false" customHeight="false" outlineLevel="0" collapsed="false">
      <c r="A871" s="20" t="s">
        <v>632</v>
      </c>
      <c r="B871" s="23" t="n">
        <v>46011</v>
      </c>
      <c r="C871" s="20" t="n">
        <f aca="false">MONTH(B871)</f>
        <v>12</v>
      </c>
      <c r="D871" s="20" t="s">
        <v>174</v>
      </c>
      <c r="E871" s="20" t="s">
        <v>109</v>
      </c>
      <c r="F871" s="20" t="s">
        <v>54</v>
      </c>
      <c r="G871" s="20" t="s">
        <v>76</v>
      </c>
      <c r="H871" s="20" t="n">
        <v>3</v>
      </c>
      <c r="I871" s="24" t="n">
        <v>32</v>
      </c>
      <c r="J871" s="24" t="n">
        <v>13</v>
      </c>
      <c r="K871" s="24" t="n">
        <f aca="false">H871*I871</f>
        <v>96</v>
      </c>
      <c r="L871" s="24" t="n">
        <f aca="false">K871-H871*J871</f>
        <v>57</v>
      </c>
      <c r="M871" s="20" t="s">
        <v>112</v>
      </c>
    </row>
    <row r="872" customFormat="false" ht="15" hidden="false" customHeight="false" outlineLevel="0" collapsed="false">
      <c r="A872" s="20" t="s">
        <v>1358</v>
      </c>
      <c r="B872" s="23" t="n">
        <v>46011</v>
      </c>
      <c r="C872" s="20" t="n">
        <f aca="false">MONTH(B872)</f>
        <v>12</v>
      </c>
      <c r="D872" s="20" t="s">
        <v>233</v>
      </c>
      <c r="E872" s="20" t="s">
        <v>59</v>
      </c>
      <c r="F872" s="20" t="s">
        <v>92</v>
      </c>
      <c r="G872" s="20" t="s">
        <v>105</v>
      </c>
      <c r="H872" s="20" t="n">
        <v>1</v>
      </c>
      <c r="I872" s="24" t="n">
        <v>49</v>
      </c>
      <c r="J872" s="24" t="n">
        <v>22</v>
      </c>
      <c r="K872" s="24" t="n">
        <f aca="false">H872*I872</f>
        <v>49</v>
      </c>
      <c r="L872" s="24" t="n">
        <f aca="false">K872-H872*J872</f>
        <v>27</v>
      </c>
      <c r="M872" s="20" t="s">
        <v>50</v>
      </c>
    </row>
    <row r="873" customFormat="false" ht="15" hidden="false" customHeight="false" outlineLevel="0" collapsed="false">
      <c r="A873" s="20" t="s">
        <v>818</v>
      </c>
      <c r="B873" s="23" t="n">
        <v>46011</v>
      </c>
      <c r="C873" s="20" t="n">
        <f aca="false">MONTH(B873)</f>
        <v>12</v>
      </c>
      <c r="D873" s="20" t="s">
        <v>97</v>
      </c>
      <c r="E873" s="20" t="s">
        <v>65</v>
      </c>
      <c r="F873" s="20" t="s">
        <v>81</v>
      </c>
      <c r="G873" s="20" t="s">
        <v>82</v>
      </c>
      <c r="H873" s="20" t="n">
        <v>3</v>
      </c>
      <c r="I873" s="24" t="n">
        <v>22</v>
      </c>
      <c r="J873" s="24" t="n">
        <v>8</v>
      </c>
      <c r="K873" s="24" t="n">
        <f aca="false">H873*I873</f>
        <v>66</v>
      </c>
      <c r="L873" s="24" t="n">
        <f aca="false">K873-H873*J873</f>
        <v>42</v>
      </c>
      <c r="M873" s="20" t="s">
        <v>50</v>
      </c>
    </row>
    <row r="874" customFormat="false" ht="15" hidden="false" customHeight="false" outlineLevel="0" collapsed="false">
      <c r="A874" s="20" t="s">
        <v>1068</v>
      </c>
      <c r="B874" s="23" t="n">
        <v>46011</v>
      </c>
      <c r="C874" s="20" t="n">
        <f aca="false">MONTH(B874)</f>
        <v>12</v>
      </c>
      <c r="D874" s="20" t="s">
        <v>239</v>
      </c>
      <c r="E874" s="20" t="s">
        <v>59</v>
      </c>
      <c r="F874" s="20" t="s">
        <v>48</v>
      </c>
      <c r="G874" s="20" t="s">
        <v>144</v>
      </c>
      <c r="H874" s="20" t="n">
        <v>2</v>
      </c>
      <c r="I874" s="24" t="n">
        <v>54</v>
      </c>
      <c r="J874" s="24" t="n">
        <v>24</v>
      </c>
      <c r="K874" s="24" t="n">
        <f aca="false">H874*I874</f>
        <v>108</v>
      </c>
      <c r="L874" s="24" t="n">
        <f aca="false">K874-H874*J874</f>
        <v>60</v>
      </c>
      <c r="M874" s="20" t="s">
        <v>50</v>
      </c>
    </row>
    <row r="875" customFormat="false" ht="15" hidden="false" customHeight="false" outlineLevel="0" collapsed="false">
      <c r="A875" s="20" t="s">
        <v>1199</v>
      </c>
      <c r="B875" s="23" t="n">
        <v>46012</v>
      </c>
      <c r="C875" s="20" t="n">
        <f aca="false">MONTH(B875)</f>
        <v>12</v>
      </c>
      <c r="D875" s="20" t="s">
        <v>444</v>
      </c>
      <c r="E875" s="20" t="s">
        <v>47</v>
      </c>
      <c r="F875" s="20" t="s">
        <v>48</v>
      </c>
      <c r="G875" s="20" t="s">
        <v>144</v>
      </c>
      <c r="H875" s="20" t="n">
        <v>1</v>
      </c>
      <c r="I875" s="24" t="n">
        <v>54</v>
      </c>
      <c r="J875" s="24" t="n">
        <v>24</v>
      </c>
      <c r="K875" s="24" t="n">
        <f aca="false">H875*I875</f>
        <v>54</v>
      </c>
      <c r="L875" s="24" t="n">
        <f aca="false">K875-H875*J875</f>
        <v>30</v>
      </c>
      <c r="M875" s="20" t="s">
        <v>50</v>
      </c>
    </row>
    <row r="876" customFormat="false" ht="15" hidden="false" customHeight="false" outlineLevel="0" collapsed="false">
      <c r="A876" s="20" t="s">
        <v>232</v>
      </c>
      <c r="B876" s="23" t="n">
        <v>46012</v>
      </c>
      <c r="C876" s="20" t="n">
        <f aca="false">MONTH(B876)</f>
        <v>12</v>
      </c>
      <c r="D876" s="20" t="s">
        <v>233</v>
      </c>
      <c r="E876" s="20" t="s">
        <v>47</v>
      </c>
      <c r="F876" s="20" t="s">
        <v>81</v>
      </c>
      <c r="G876" s="20" t="s">
        <v>82</v>
      </c>
      <c r="H876" s="20" t="n">
        <v>2</v>
      </c>
      <c r="I876" s="24" t="n">
        <v>22</v>
      </c>
      <c r="J876" s="24" t="n">
        <v>8</v>
      </c>
      <c r="K876" s="24" t="n">
        <f aca="false">H876*I876</f>
        <v>44</v>
      </c>
      <c r="L876" s="24" t="n">
        <f aca="false">K876-H876*J876</f>
        <v>28</v>
      </c>
      <c r="M876" s="20" t="s">
        <v>50</v>
      </c>
    </row>
    <row r="877" customFormat="false" ht="15" hidden="false" customHeight="false" outlineLevel="0" collapsed="false">
      <c r="A877" s="20" t="s">
        <v>598</v>
      </c>
      <c r="B877" s="23" t="n">
        <v>46013</v>
      </c>
      <c r="C877" s="20" t="n">
        <f aca="false">MONTH(B877)</f>
        <v>12</v>
      </c>
      <c r="D877" s="20" t="s">
        <v>600</v>
      </c>
      <c r="E877" s="20" t="s">
        <v>65</v>
      </c>
      <c r="F877" s="20" t="s">
        <v>48</v>
      </c>
      <c r="G877" s="20" t="s">
        <v>144</v>
      </c>
      <c r="H877" s="20" t="n">
        <v>1</v>
      </c>
      <c r="I877" s="24" t="n">
        <v>54</v>
      </c>
      <c r="J877" s="24" t="n">
        <v>24</v>
      </c>
      <c r="K877" s="24" t="n">
        <f aca="false">H877*I877</f>
        <v>54</v>
      </c>
      <c r="L877" s="24" t="n">
        <f aca="false">K877-H877*J877</f>
        <v>30</v>
      </c>
      <c r="M877" s="20" t="s">
        <v>50</v>
      </c>
    </row>
    <row r="878" customFormat="false" ht="15" hidden="false" customHeight="false" outlineLevel="0" collapsed="false">
      <c r="A878" s="20" t="s">
        <v>1438</v>
      </c>
      <c r="B878" s="23" t="n">
        <v>46013</v>
      </c>
      <c r="C878" s="20" t="n">
        <f aca="false">MONTH(B878)</f>
        <v>12</v>
      </c>
      <c r="D878" s="20" t="s">
        <v>239</v>
      </c>
      <c r="E878" s="20" t="s">
        <v>47</v>
      </c>
      <c r="F878" s="20" t="s">
        <v>48</v>
      </c>
      <c r="G878" s="20" t="s">
        <v>116</v>
      </c>
      <c r="H878" s="20" t="n">
        <v>1</v>
      </c>
      <c r="I878" s="24" t="n">
        <v>28</v>
      </c>
      <c r="J878" s="24" t="n">
        <v>9</v>
      </c>
      <c r="K878" s="24" t="n">
        <f aca="false">H878*I878</f>
        <v>28</v>
      </c>
      <c r="L878" s="24" t="n">
        <f aca="false">K878-H878*J878</f>
        <v>19</v>
      </c>
      <c r="M878" s="20" t="s">
        <v>50</v>
      </c>
    </row>
    <row r="879" customFormat="false" ht="15" hidden="false" customHeight="false" outlineLevel="0" collapsed="false">
      <c r="A879" s="20" t="s">
        <v>922</v>
      </c>
      <c r="B879" s="23" t="n">
        <v>46014</v>
      </c>
      <c r="C879" s="20" t="n">
        <f aca="false">MONTH(B879)</f>
        <v>12</v>
      </c>
      <c r="D879" s="20" t="s">
        <v>923</v>
      </c>
      <c r="E879" s="20" t="s">
        <v>47</v>
      </c>
      <c r="F879" s="20" t="s">
        <v>92</v>
      </c>
      <c r="G879" s="20" t="s">
        <v>105</v>
      </c>
      <c r="H879" s="20" t="n">
        <v>2</v>
      </c>
      <c r="I879" s="24" t="n">
        <v>49</v>
      </c>
      <c r="J879" s="24" t="n">
        <v>22</v>
      </c>
      <c r="K879" s="24" t="n">
        <f aca="false">H879*I879</f>
        <v>98</v>
      </c>
      <c r="L879" s="24" t="n">
        <f aca="false">K879-H879*J879</f>
        <v>54</v>
      </c>
      <c r="M879" s="20" t="s">
        <v>50</v>
      </c>
    </row>
    <row r="880" customFormat="false" ht="15" hidden="false" customHeight="false" outlineLevel="0" collapsed="false">
      <c r="A880" s="20" t="s">
        <v>1434</v>
      </c>
      <c r="B880" s="23" t="n">
        <v>46014</v>
      </c>
      <c r="C880" s="20" t="n">
        <f aca="false">MONTH(B880)</f>
        <v>12</v>
      </c>
      <c r="D880" s="20" t="s">
        <v>174</v>
      </c>
      <c r="E880" s="20" t="s">
        <v>47</v>
      </c>
      <c r="F880" s="20" t="s">
        <v>48</v>
      </c>
      <c r="G880" s="20" t="s">
        <v>49</v>
      </c>
      <c r="H880" s="20" t="n">
        <v>2</v>
      </c>
      <c r="I880" s="24" t="n">
        <v>18</v>
      </c>
      <c r="J880" s="24" t="n">
        <v>5</v>
      </c>
      <c r="K880" s="24" t="n">
        <f aca="false">H880*I880</f>
        <v>36</v>
      </c>
      <c r="L880" s="24" t="n">
        <f aca="false">K880-H880*J880</f>
        <v>26</v>
      </c>
      <c r="M880" s="20" t="s">
        <v>50</v>
      </c>
    </row>
    <row r="881" customFormat="false" ht="15" hidden="false" customHeight="false" outlineLevel="0" collapsed="false">
      <c r="A881" s="20" t="s">
        <v>1036</v>
      </c>
      <c r="B881" s="23" t="n">
        <v>46014</v>
      </c>
      <c r="C881" s="20" t="n">
        <f aca="false">MONTH(B881)</f>
        <v>12</v>
      </c>
      <c r="D881" s="20" t="s">
        <v>281</v>
      </c>
      <c r="E881" s="20" t="s">
        <v>65</v>
      </c>
      <c r="F881" s="20" t="s">
        <v>92</v>
      </c>
      <c r="G881" s="20" t="s">
        <v>93</v>
      </c>
      <c r="H881" s="20" t="n">
        <v>1</v>
      </c>
      <c r="I881" s="24" t="n">
        <v>15</v>
      </c>
      <c r="J881" s="24" t="n">
        <v>5</v>
      </c>
      <c r="K881" s="24" t="n">
        <f aca="false">H881*I881</f>
        <v>15</v>
      </c>
      <c r="L881" s="24" t="n">
        <f aca="false">K881-H881*J881</f>
        <v>10</v>
      </c>
      <c r="M881" s="20" t="s">
        <v>50</v>
      </c>
    </row>
    <row r="882" customFormat="false" ht="15" hidden="false" customHeight="false" outlineLevel="0" collapsed="false">
      <c r="A882" s="20" t="s">
        <v>1659</v>
      </c>
      <c r="B882" s="23" t="n">
        <v>46015</v>
      </c>
      <c r="C882" s="20" t="n">
        <f aca="false">MONTH(B882)</f>
        <v>12</v>
      </c>
      <c r="D882" s="20" t="s">
        <v>183</v>
      </c>
      <c r="E882" s="20" t="s">
        <v>65</v>
      </c>
      <c r="F882" s="20" t="s">
        <v>81</v>
      </c>
      <c r="G882" s="20" t="s">
        <v>82</v>
      </c>
      <c r="H882" s="20" t="n">
        <v>1</v>
      </c>
      <c r="I882" s="24" t="n">
        <v>22</v>
      </c>
      <c r="J882" s="24" t="n">
        <v>8</v>
      </c>
      <c r="K882" s="24" t="n">
        <f aca="false">H882*I882</f>
        <v>22</v>
      </c>
      <c r="L882" s="24" t="n">
        <f aca="false">K882-H882*J882</f>
        <v>14</v>
      </c>
      <c r="M882" s="20" t="s">
        <v>50</v>
      </c>
    </row>
    <row r="883" customFormat="false" ht="15" hidden="false" customHeight="false" outlineLevel="0" collapsed="false">
      <c r="A883" s="20" t="s">
        <v>980</v>
      </c>
      <c r="B883" s="23" t="n">
        <v>46015</v>
      </c>
      <c r="C883" s="20" t="n">
        <f aca="false">MONTH(B883)</f>
        <v>12</v>
      </c>
      <c r="D883" s="20" t="s">
        <v>272</v>
      </c>
      <c r="E883" s="20" t="s">
        <v>109</v>
      </c>
      <c r="F883" s="20" t="s">
        <v>54</v>
      </c>
      <c r="G883" s="20" t="s">
        <v>72</v>
      </c>
      <c r="H883" s="20" t="n">
        <v>3</v>
      </c>
      <c r="I883" s="24" t="n">
        <v>24</v>
      </c>
      <c r="J883" s="24" t="n">
        <v>9</v>
      </c>
      <c r="K883" s="24" t="n">
        <f aca="false">H883*I883</f>
        <v>72</v>
      </c>
      <c r="L883" s="24" t="n">
        <f aca="false">K883-H883*J883</f>
        <v>45</v>
      </c>
      <c r="M883" s="20" t="s">
        <v>50</v>
      </c>
    </row>
    <row r="884" customFormat="false" ht="15" hidden="false" customHeight="false" outlineLevel="0" collapsed="false">
      <c r="A884" s="20" t="s">
        <v>1185</v>
      </c>
      <c r="B884" s="23" t="n">
        <v>46015</v>
      </c>
      <c r="C884" s="20" t="n">
        <f aca="false">MONTH(B884)</f>
        <v>12</v>
      </c>
      <c r="D884" s="20" t="s">
        <v>195</v>
      </c>
      <c r="E884" s="20" t="s">
        <v>65</v>
      </c>
      <c r="F884" s="20" t="s">
        <v>110</v>
      </c>
      <c r="G884" s="20" t="s">
        <v>236</v>
      </c>
      <c r="H884" s="20" t="n">
        <v>1</v>
      </c>
      <c r="I884" s="24" t="n">
        <v>30</v>
      </c>
      <c r="J884" s="24" t="n">
        <v>11</v>
      </c>
      <c r="K884" s="24" t="n">
        <f aca="false">H884*I884</f>
        <v>30</v>
      </c>
      <c r="L884" s="24" t="n">
        <f aca="false">K884-H884*J884</f>
        <v>19</v>
      </c>
      <c r="M884" s="20" t="s">
        <v>50</v>
      </c>
    </row>
    <row r="885" customFormat="false" ht="15" hidden="false" customHeight="false" outlineLevel="0" collapsed="false">
      <c r="A885" s="20" t="s">
        <v>581</v>
      </c>
      <c r="B885" s="23" t="n">
        <v>46015</v>
      </c>
      <c r="C885" s="20" t="n">
        <f aca="false">MONTH(B885)</f>
        <v>12</v>
      </c>
      <c r="D885" s="20" t="s">
        <v>91</v>
      </c>
      <c r="E885" s="20" t="s">
        <v>65</v>
      </c>
      <c r="F885" s="20" t="s">
        <v>110</v>
      </c>
      <c r="G885" s="20" t="s">
        <v>121</v>
      </c>
      <c r="H885" s="20" t="n">
        <v>2</v>
      </c>
      <c r="I885" s="24" t="n">
        <v>21</v>
      </c>
      <c r="J885" s="24" t="n">
        <v>7</v>
      </c>
      <c r="K885" s="24" t="n">
        <f aca="false">H885*I885</f>
        <v>42</v>
      </c>
      <c r="L885" s="24" t="n">
        <f aca="false">K885-H885*J885</f>
        <v>28</v>
      </c>
      <c r="M885" s="20" t="s">
        <v>112</v>
      </c>
    </row>
    <row r="886" customFormat="false" ht="15" hidden="false" customHeight="false" outlineLevel="0" collapsed="false">
      <c r="A886" s="20" t="s">
        <v>1107</v>
      </c>
      <c r="B886" s="23" t="n">
        <v>46016</v>
      </c>
      <c r="C886" s="20" t="n">
        <f aca="false">MONTH(B886)</f>
        <v>12</v>
      </c>
      <c r="D886" s="20" t="s">
        <v>192</v>
      </c>
      <c r="E886" s="20" t="s">
        <v>65</v>
      </c>
      <c r="F886" s="20" t="s">
        <v>81</v>
      </c>
      <c r="G886" s="20" t="s">
        <v>61</v>
      </c>
      <c r="H886" s="20" t="n">
        <v>1</v>
      </c>
      <c r="I886" s="24" t="n">
        <v>35</v>
      </c>
      <c r="J886" s="24" t="n">
        <v>12</v>
      </c>
      <c r="K886" s="24" t="n">
        <f aca="false">H886*I886</f>
        <v>35</v>
      </c>
      <c r="L886" s="24" t="n">
        <f aca="false">K886-H886*J886</f>
        <v>23</v>
      </c>
      <c r="M886" s="20" t="s">
        <v>50</v>
      </c>
    </row>
    <row r="887" customFormat="false" ht="15" hidden="false" customHeight="false" outlineLevel="0" collapsed="false">
      <c r="A887" s="20" t="s">
        <v>495</v>
      </c>
      <c r="B887" s="23" t="n">
        <v>46016</v>
      </c>
      <c r="C887" s="20" t="n">
        <f aca="false">MONTH(B887)</f>
        <v>12</v>
      </c>
      <c r="D887" s="20" t="s">
        <v>415</v>
      </c>
      <c r="E887" s="20" t="s">
        <v>65</v>
      </c>
      <c r="F887" s="20" t="s">
        <v>92</v>
      </c>
      <c r="G887" s="20" t="s">
        <v>105</v>
      </c>
      <c r="H887" s="20" t="n">
        <v>1</v>
      </c>
      <c r="I887" s="24" t="n">
        <v>49</v>
      </c>
      <c r="J887" s="24" t="n">
        <v>22</v>
      </c>
      <c r="K887" s="24" t="n">
        <f aca="false">H887*I887</f>
        <v>49</v>
      </c>
      <c r="L887" s="24" t="n">
        <f aca="false">K887-H887*J887</f>
        <v>27</v>
      </c>
      <c r="M887" s="20" t="s">
        <v>50</v>
      </c>
    </row>
    <row r="888" customFormat="false" ht="15" hidden="false" customHeight="false" outlineLevel="0" collapsed="false">
      <c r="A888" s="20" t="s">
        <v>1050</v>
      </c>
      <c r="B888" s="23" t="n">
        <v>46016</v>
      </c>
      <c r="C888" s="20" t="n">
        <f aca="false">MONTH(B888)</f>
        <v>12</v>
      </c>
      <c r="D888" s="20" t="s">
        <v>100</v>
      </c>
      <c r="E888" s="20" t="s">
        <v>47</v>
      </c>
      <c r="F888" s="20" t="s">
        <v>48</v>
      </c>
      <c r="G888" s="20" t="s">
        <v>116</v>
      </c>
      <c r="H888" s="20" t="n">
        <v>1</v>
      </c>
      <c r="I888" s="24" t="n">
        <v>28</v>
      </c>
      <c r="J888" s="24" t="n">
        <v>9</v>
      </c>
      <c r="K888" s="24" t="n">
        <f aca="false">H888*I888</f>
        <v>28</v>
      </c>
      <c r="L888" s="24" t="n">
        <f aca="false">K888-H888*J888</f>
        <v>19</v>
      </c>
      <c r="M888" s="20" t="s">
        <v>50</v>
      </c>
    </row>
    <row r="889" customFormat="false" ht="15" hidden="false" customHeight="false" outlineLevel="0" collapsed="false">
      <c r="A889" s="20" t="s">
        <v>806</v>
      </c>
      <c r="B889" s="23" t="n">
        <v>46016</v>
      </c>
      <c r="C889" s="20" t="n">
        <f aca="false">MONTH(B889)</f>
        <v>12</v>
      </c>
      <c r="D889" s="20" t="s">
        <v>719</v>
      </c>
      <c r="E889" s="20" t="s">
        <v>70</v>
      </c>
      <c r="F889" s="20" t="s">
        <v>81</v>
      </c>
      <c r="G889" s="20" t="s">
        <v>82</v>
      </c>
      <c r="H889" s="20" t="n">
        <v>1</v>
      </c>
      <c r="I889" s="24" t="n">
        <v>22</v>
      </c>
      <c r="J889" s="24" t="n">
        <v>8</v>
      </c>
      <c r="K889" s="24" t="n">
        <f aca="false">H889*I889</f>
        <v>22</v>
      </c>
      <c r="L889" s="24" t="n">
        <f aca="false">K889-H889*J889</f>
        <v>14</v>
      </c>
      <c r="M889" s="20" t="s">
        <v>50</v>
      </c>
    </row>
    <row r="890" customFormat="false" ht="15" hidden="false" customHeight="false" outlineLevel="0" collapsed="false">
      <c r="A890" s="20" t="s">
        <v>1340</v>
      </c>
      <c r="B890" s="23" t="n">
        <v>46017</v>
      </c>
      <c r="C890" s="20" t="n">
        <f aca="false">MONTH(B890)</f>
        <v>12</v>
      </c>
      <c r="D890" s="20" t="s">
        <v>1010</v>
      </c>
      <c r="E890" s="20" t="s">
        <v>47</v>
      </c>
      <c r="F890" s="20" t="s">
        <v>54</v>
      </c>
      <c r="G890" s="20" t="s">
        <v>72</v>
      </c>
      <c r="H890" s="20" t="n">
        <v>1</v>
      </c>
      <c r="I890" s="24" t="n">
        <v>24</v>
      </c>
      <c r="J890" s="24" t="n">
        <v>9</v>
      </c>
      <c r="K890" s="24" t="n">
        <f aca="false">H890*I890</f>
        <v>24</v>
      </c>
      <c r="L890" s="24" t="n">
        <f aca="false">K890-H890*J890</f>
        <v>15</v>
      </c>
      <c r="M890" s="20" t="s">
        <v>50</v>
      </c>
    </row>
    <row r="891" customFormat="false" ht="15" hidden="false" customHeight="false" outlineLevel="0" collapsed="false">
      <c r="A891" s="20" t="s">
        <v>924</v>
      </c>
      <c r="B891" s="23" t="n">
        <v>46017</v>
      </c>
      <c r="C891" s="20" t="n">
        <f aca="false">MONTH(B891)</f>
        <v>12</v>
      </c>
      <c r="D891" s="20" t="s">
        <v>925</v>
      </c>
      <c r="E891" s="20" t="s">
        <v>59</v>
      </c>
      <c r="F891" s="20" t="s">
        <v>54</v>
      </c>
      <c r="G891" s="20" t="s">
        <v>55</v>
      </c>
      <c r="H891" s="20" t="n">
        <v>1</v>
      </c>
      <c r="I891" s="24" t="n">
        <v>38</v>
      </c>
      <c r="J891" s="24" t="n">
        <v>16</v>
      </c>
      <c r="K891" s="24" t="n">
        <f aca="false">H891*I891</f>
        <v>38</v>
      </c>
      <c r="L891" s="24" t="n">
        <f aca="false">K891-H891*J891</f>
        <v>22</v>
      </c>
      <c r="M891" s="20" t="s">
        <v>50</v>
      </c>
    </row>
    <row r="892" customFormat="false" ht="15" hidden="false" customHeight="false" outlineLevel="0" collapsed="false">
      <c r="A892" s="20" t="s">
        <v>865</v>
      </c>
      <c r="B892" s="23" t="n">
        <v>46017</v>
      </c>
      <c r="C892" s="20" t="n">
        <f aca="false">MONTH(B892)</f>
        <v>12</v>
      </c>
      <c r="D892" s="20" t="s">
        <v>97</v>
      </c>
      <c r="E892" s="20" t="s">
        <v>47</v>
      </c>
      <c r="F892" s="20" t="s">
        <v>48</v>
      </c>
      <c r="G892" s="20" t="s">
        <v>116</v>
      </c>
      <c r="H892" s="20" t="n">
        <v>1</v>
      </c>
      <c r="I892" s="24" t="n">
        <v>28</v>
      </c>
      <c r="J892" s="24" t="n">
        <v>9</v>
      </c>
      <c r="K892" s="24" t="n">
        <f aca="false">H892*I892</f>
        <v>28</v>
      </c>
      <c r="L892" s="24" t="n">
        <f aca="false">K892-H892*J892</f>
        <v>19</v>
      </c>
      <c r="M892" s="20" t="s">
        <v>50</v>
      </c>
    </row>
    <row r="893" customFormat="false" ht="15" hidden="false" customHeight="false" outlineLevel="0" collapsed="false">
      <c r="A893" s="20" t="s">
        <v>435</v>
      </c>
      <c r="B893" s="23" t="n">
        <v>46017</v>
      </c>
      <c r="C893" s="20" t="n">
        <f aca="false">MONTH(B893)</f>
        <v>12</v>
      </c>
      <c r="D893" s="20" t="s">
        <v>437</v>
      </c>
      <c r="E893" s="20" t="s">
        <v>70</v>
      </c>
      <c r="F893" s="20" t="s">
        <v>54</v>
      </c>
      <c r="G893" s="20" t="s">
        <v>76</v>
      </c>
      <c r="H893" s="20" t="n">
        <v>2</v>
      </c>
      <c r="I893" s="24" t="n">
        <v>32</v>
      </c>
      <c r="J893" s="24" t="n">
        <v>13</v>
      </c>
      <c r="K893" s="24" t="n">
        <f aca="false">H893*I893</f>
        <v>64</v>
      </c>
      <c r="L893" s="24" t="n">
        <f aca="false">K893-H893*J893</f>
        <v>38</v>
      </c>
      <c r="M893" s="20" t="s">
        <v>50</v>
      </c>
    </row>
    <row r="894" customFormat="false" ht="15" hidden="false" customHeight="false" outlineLevel="0" collapsed="false">
      <c r="A894" s="20" t="s">
        <v>514</v>
      </c>
      <c r="B894" s="23" t="n">
        <v>46018</v>
      </c>
      <c r="C894" s="20" t="n">
        <f aca="false">MONTH(B894)</f>
        <v>12</v>
      </c>
      <c r="D894" s="20" t="s">
        <v>286</v>
      </c>
      <c r="E894" s="20" t="s">
        <v>47</v>
      </c>
      <c r="F894" s="20" t="s">
        <v>54</v>
      </c>
      <c r="G894" s="20" t="s">
        <v>72</v>
      </c>
      <c r="H894" s="20" t="n">
        <v>1</v>
      </c>
      <c r="I894" s="24" t="n">
        <v>24</v>
      </c>
      <c r="J894" s="24" t="n">
        <v>9</v>
      </c>
      <c r="K894" s="24" t="n">
        <f aca="false">H894*I894</f>
        <v>24</v>
      </c>
      <c r="L894" s="24" t="n">
        <f aca="false">K894-H894*J894</f>
        <v>15</v>
      </c>
      <c r="M894" s="20" t="s">
        <v>50</v>
      </c>
    </row>
    <row r="895" customFormat="false" ht="15" hidden="false" customHeight="false" outlineLevel="0" collapsed="false">
      <c r="A895" s="20" t="s">
        <v>1095</v>
      </c>
      <c r="B895" s="23" t="n">
        <v>46018</v>
      </c>
      <c r="C895" s="20" t="n">
        <f aca="false">MONTH(B895)</f>
        <v>12</v>
      </c>
      <c r="D895" s="20" t="s">
        <v>1025</v>
      </c>
      <c r="E895" s="20" t="s">
        <v>59</v>
      </c>
      <c r="F895" s="20" t="s">
        <v>92</v>
      </c>
      <c r="G895" s="20" t="s">
        <v>93</v>
      </c>
      <c r="H895" s="20" t="n">
        <v>1</v>
      </c>
      <c r="I895" s="24" t="n">
        <v>15</v>
      </c>
      <c r="J895" s="24" t="n">
        <v>5</v>
      </c>
      <c r="K895" s="24" t="n">
        <f aca="false">H895*I895</f>
        <v>15</v>
      </c>
      <c r="L895" s="24" t="n">
        <f aca="false">K895-H895*J895</f>
        <v>10</v>
      </c>
      <c r="M895" s="20" t="s">
        <v>50</v>
      </c>
    </row>
    <row r="896" customFormat="false" ht="15" hidden="false" customHeight="false" outlineLevel="0" collapsed="false">
      <c r="A896" s="20" t="s">
        <v>1061</v>
      </c>
      <c r="B896" s="23" t="n">
        <v>46018</v>
      </c>
      <c r="C896" s="20" t="n">
        <f aca="false">MONTH(B896)</f>
        <v>12</v>
      </c>
      <c r="D896" s="20" t="s">
        <v>214</v>
      </c>
      <c r="E896" s="20" t="s">
        <v>109</v>
      </c>
      <c r="F896" s="20" t="s">
        <v>54</v>
      </c>
      <c r="G896" s="20" t="s">
        <v>72</v>
      </c>
      <c r="H896" s="20" t="n">
        <v>1</v>
      </c>
      <c r="I896" s="24" t="n">
        <v>24</v>
      </c>
      <c r="J896" s="24" t="n">
        <v>9</v>
      </c>
      <c r="K896" s="24" t="n">
        <f aca="false">H896*I896</f>
        <v>24</v>
      </c>
      <c r="L896" s="24" t="n">
        <f aca="false">K896-H896*J896</f>
        <v>15</v>
      </c>
      <c r="M896" s="20" t="s">
        <v>50</v>
      </c>
    </row>
    <row r="897" customFormat="false" ht="15" hidden="false" customHeight="false" outlineLevel="0" collapsed="false">
      <c r="A897" s="20" t="s">
        <v>1586</v>
      </c>
      <c r="B897" s="23" t="n">
        <v>46018</v>
      </c>
      <c r="C897" s="20" t="n">
        <f aca="false">MONTH(B897)</f>
        <v>12</v>
      </c>
      <c r="D897" s="20" t="s">
        <v>166</v>
      </c>
      <c r="E897" s="20" t="s">
        <v>59</v>
      </c>
      <c r="F897" s="20" t="s">
        <v>92</v>
      </c>
      <c r="G897" s="20" t="s">
        <v>93</v>
      </c>
      <c r="H897" s="20" t="n">
        <v>1</v>
      </c>
      <c r="I897" s="24" t="n">
        <v>15</v>
      </c>
      <c r="J897" s="24" t="n">
        <v>5</v>
      </c>
      <c r="K897" s="24" t="n">
        <f aca="false">H897*I897</f>
        <v>15</v>
      </c>
      <c r="L897" s="24" t="n">
        <f aca="false">K897-H897*J897</f>
        <v>10</v>
      </c>
      <c r="M897" s="20" t="s">
        <v>50</v>
      </c>
    </row>
    <row r="898" customFormat="false" ht="15" hidden="false" customHeight="false" outlineLevel="0" collapsed="false">
      <c r="A898" s="20" t="s">
        <v>579</v>
      </c>
      <c r="B898" s="23" t="n">
        <v>46019</v>
      </c>
      <c r="C898" s="20" t="n">
        <f aca="false">MONTH(B898)</f>
        <v>12</v>
      </c>
      <c r="D898" s="20" t="s">
        <v>335</v>
      </c>
      <c r="E898" s="20" t="s">
        <v>47</v>
      </c>
      <c r="F898" s="20" t="s">
        <v>54</v>
      </c>
      <c r="G898" s="20" t="s">
        <v>55</v>
      </c>
      <c r="H898" s="20" t="n">
        <v>1</v>
      </c>
      <c r="I898" s="24" t="n">
        <v>38</v>
      </c>
      <c r="J898" s="24" t="n">
        <v>16</v>
      </c>
      <c r="K898" s="24" t="n">
        <f aca="false">H898*I898</f>
        <v>38</v>
      </c>
      <c r="L898" s="24" t="n">
        <f aca="false">K898-H898*J898</f>
        <v>22</v>
      </c>
      <c r="M898" s="20" t="s">
        <v>112</v>
      </c>
    </row>
    <row r="899" customFormat="false" ht="15" hidden="false" customHeight="false" outlineLevel="0" collapsed="false">
      <c r="A899" s="20" t="s">
        <v>903</v>
      </c>
      <c r="B899" s="23" t="n">
        <v>46019</v>
      </c>
      <c r="C899" s="20" t="n">
        <f aca="false">MONTH(B899)</f>
        <v>12</v>
      </c>
      <c r="D899" s="20" t="s">
        <v>91</v>
      </c>
      <c r="E899" s="20" t="s">
        <v>109</v>
      </c>
      <c r="F899" s="20" t="s">
        <v>110</v>
      </c>
      <c r="G899" s="20" t="s">
        <v>121</v>
      </c>
      <c r="H899" s="20" t="n">
        <v>2</v>
      </c>
      <c r="I899" s="24" t="n">
        <v>21</v>
      </c>
      <c r="J899" s="24" t="n">
        <v>7</v>
      </c>
      <c r="K899" s="24" t="n">
        <f aca="false">H899*I899</f>
        <v>42</v>
      </c>
      <c r="L899" s="24" t="n">
        <f aca="false">K899-H899*J899</f>
        <v>28</v>
      </c>
      <c r="M899" s="20" t="s">
        <v>50</v>
      </c>
    </row>
    <row r="900" customFormat="false" ht="15" hidden="false" customHeight="false" outlineLevel="0" collapsed="false">
      <c r="A900" s="20" t="s">
        <v>223</v>
      </c>
      <c r="B900" s="23" t="n">
        <v>46019</v>
      </c>
      <c r="C900" s="20" t="n">
        <f aca="false">MONTH(B900)</f>
        <v>12</v>
      </c>
      <c r="D900" s="20" t="s">
        <v>224</v>
      </c>
      <c r="E900" s="20" t="s">
        <v>65</v>
      </c>
      <c r="F900" s="20" t="s">
        <v>81</v>
      </c>
      <c r="G900" s="20" t="s">
        <v>82</v>
      </c>
      <c r="H900" s="20" t="n">
        <v>1</v>
      </c>
      <c r="I900" s="24" t="n">
        <v>22</v>
      </c>
      <c r="J900" s="24" t="n">
        <v>8</v>
      </c>
      <c r="K900" s="24" t="n">
        <f aca="false">H900*I900</f>
        <v>22</v>
      </c>
      <c r="L900" s="24" t="n">
        <f aca="false">K900-H900*J900</f>
        <v>14</v>
      </c>
      <c r="M900" s="20" t="s">
        <v>50</v>
      </c>
    </row>
    <row r="901" customFormat="false" ht="15" hidden="false" customHeight="false" outlineLevel="0" collapsed="false">
      <c r="A901" s="20" t="s">
        <v>1365</v>
      </c>
      <c r="B901" s="23" t="n">
        <v>46019</v>
      </c>
      <c r="C901" s="20" t="n">
        <f aca="false">MONTH(B901)</f>
        <v>12</v>
      </c>
      <c r="D901" s="20" t="s">
        <v>526</v>
      </c>
      <c r="E901" s="20" t="s">
        <v>47</v>
      </c>
      <c r="F901" s="20" t="s">
        <v>48</v>
      </c>
      <c r="G901" s="20" t="s">
        <v>144</v>
      </c>
      <c r="H901" s="20" t="n">
        <v>1</v>
      </c>
      <c r="I901" s="24" t="n">
        <v>54</v>
      </c>
      <c r="J901" s="24" t="n">
        <v>24</v>
      </c>
      <c r="K901" s="24" t="n">
        <f aca="false">H901*I901</f>
        <v>54</v>
      </c>
      <c r="L901" s="24" t="n">
        <f aca="false">K901-H901*J901</f>
        <v>30</v>
      </c>
      <c r="M901" s="20" t="s">
        <v>112</v>
      </c>
    </row>
  </sheetData>
  <autoFilter ref="A1:M9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2" min="11" style="0" width="14"/>
  </cols>
  <sheetData>
    <row r="1" customFormat="false" ht="15" hidden="false" customHeight="false" outlineLevel="0" collapsed="false">
      <c r="A1" s="20" t="s">
        <v>1705</v>
      </c>
      <c r="B1" s="20" t="str">
        <f aca="false">IF(Dashboard!C5="All","*",Dashboard!C5)</f>
        <v>*</v>
      </c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5" hidden="false" customHeight="false" outlineLevel="0" collapsed="false">
      <c r="A2" s="20" t="s">
        <v>1706</v>
      </c>
      <c r="B2" s="20" t="str">
        <f aca="false">IF(Dashboard!G5="All","*",Dashboard!G5)</f>
        <v>*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customFormat="false" ht="15" hidden="false" customHeight="fals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customFormat="false" ht="15" hidden="false" customHeight="false" outlineLevel="0" collapsed="false">
      <c r="A5" s="25" t="s">
        <v>1696</v>
      </c>
      <c r="B5" s="25" t="s">
        <v>1707</v>
      </c>
      <c r="C5" s="25" t="s">
        <v>1703</v>
      </c>
      <c r="D5" s="25" t="s">
        <v>9</v>
      </c>
      <c r="E5" s="25" t="s">
        <v>1708</v>
      </c>
      <c r="F5" s="20"/>
      <c r="G5" s="25" t="s">
        <v>4</v>
      </c>
      <c r="H5" s="25" t="s">
        <v>1707</v>
      </c>
      <c r="I5" s="20"/>
      <c r="J5" s="20"/>
      <c r="K5" s="25" t="s">
        <v>2</v>
      </c>
      <c r="L5" s="25" t="s">
        <v>1707</v>
      </c>
    </row>
    <row r="6" customFormat="false" ht="15" hidden="false" customHeight="false" outlineLevel="0" collapsed="false">
      <c r="A6" s="20" t="s">
        <v>1709</v>
      </c>
      <c r="B6" s="26" t="n">
        <f aca="false">SUMIFS(Data!$K$2:$K$901,Data!$M$2:$M$901,"Delivered",Data!$C$2:$C$901,$E6,Data!$E$2:$E$901,$B$1,Data!$F$2:$F$901,$B$2)</f>
        <v>3639</v>
      </c>
      <c r="C6" s="26" t="n">
        <f aca="false">SUMIFS(Data!$L$2:$L$901,Data!$M$2:$M$901,"Delivered",Data!$C$2:$C$901,$E6,Data!$E$2:$E$901,$B$1,Data!$F$2:$F$901,$B$2)</f>
        <v>2185</v>
      </c>
      <c r="D6" s="20" t="n">
        <f aca="false">COUNTIFS(Data!$M$2:$M$901,"Delivered",Data!$C$2:$C$901,$E6,Data!$E$2:$E$901,$B$1,Data!$F$2:$F$901,$B$2)</f>
        <v>60</v>
      </c>
      <c r="E6" s="20" t="n">
        <v>1</v>
      </c>
      <c r="F6" s="20"/>
      <c r="G6" s="20" t="s">
        <v>92</v>
      </c>
      <c r="H6" s="26" t="n">
        <f aca="false">SUMIFS(Data!$K$2:$K$901,Data!$M$2:$M$901,"Delivered",Data!$F$2:$F$901,$G6,Data!$E$2:$E$901,$B$1)</f>
        <v>14402</v>
      </c>
      <c r="I6" s="20"/>
      <c r="J6" s="20"/>
      <c r="K6" s="20" t="s">
        <v>47</v>
      </c>
      <c r="L6" s="26" t="n">
        <f aca="false">SUMIFS(Data!$K$2:$K$901,Data!$M$2:$M$901,"Delivered",Data!$E$2:$E$901,$K6,Data!$F$2:$F$901,$B$2)</f>
        <v>18131</v>
      </c>
    </row>
    <row r="7" customFormat="false" ht="15" hidden="false" customHeight="false" outlineLevel="0" collapsed="false">
      <c r="A7" s="20" t="s">
        <v>1710</v>
      </c>
      <c r="B7" s="26" t="n">
        <f aca="false">SUMIFS(Data!$K$2:$K$901,Data!$M$2:$M$901,"Delivered",Data!$C$2:$C$901,$E7,Data!$E$2:$E$901,$B$1,Data!$F$2:$F$901,$B$2)</f>
        <v>2364</v>
      </c>
      <c r="C7" s="26" t="n">
        <f aca="false">SUMIFS(Data!$L$2:$L$901,Data!$M$2:$M$901,"Delivered",Data!$C$2:$C$901,$E7,Data!$E$2:$E$901,$B$1,Data!$F$2:$F$901,$B$2)</f>
        <v>1449</v>
      </c>
      <c r="D7" s="20" t="n">
        <f aca="false">COUNTIFS(Data!$M$2:$M$901,"Delivered",Data!$C$2:$C$901,$E7,Data!$E$2:$E$901,$B$1,Data!$F$2:$F$901,$B$2)</f>
        <v>52</v>
      </c>
      <c r="E7" s="20" t="n">
        <v>2</v>
      </c>
      <c r="F7" s="20"/>
      <c r="G7" s="20" t="s">
        <v>54</v>
      </c>
      <c r="H7" s="26" t="n">
        <f aca="false">SUMIFS(Data!$K$2:$K$901,Data!$M$2:$M$901,"Delivered",Data!$F$2:$F$901,$G7,Data!$E$2:$E$901,$B$1)</f>
        <v>8768</v>
      </c>
      <c r="I7" s="20"/>
      <c r="J7" s="20"/>
      <c r="K7" s="20" t="s">
        <v>70</v>
      </c>
      <c r="L7" s="26" t="n">
        <f aca="false">SUMIFS(Data!$K$2:$K$901,Data!$M$2:$M$901,"Delivered",Data!$E$2:$E$901,$K7,Data!$F$2:$F$901,$B$2)</f>
        <v>8031</v>
      </c>
    </row>
    <row r="8" customFormat="false" ht="15" hidden="false" customHeight="false" outlineLevel="0" collapsed="false">
      <c r="A8" s="20" t="s">
        <v>1711</v>
      </c>
      <c r="B8" s="26" t="n">
        <f aca="false">SUMIFS(Data!$K$2:$K$901,Data!$M$2:$M$901,"Delivered",Data!$C$2:$C$901,$E8,Data!$E$2:$E$901,$B$1,Data!$F$2:$F$901,$B$2)</f>
        <v>3588</v>
      </c>
      <c r="C8" s="26" t="n">
        <f aca="false">SUMIFS(Data!$L$2:$L$901,Data!$M$2:$M$901,"Delivered",Data!$C$2:$C$901,$E8,Data!$E$2:$E$901,$B$1,Data!$F$2:$F$901,$B$2)</f>
        <v>2131</v>
      </c>
      <c r="D8" s="20" t="n">
        <f aca="false">COUNTIFS(Data!$M$2:$M$901,"Delivered",Data!$C$2:$C$901,$E8,Data!$E$2:$E$901,$B$1,Data!$F$2:$F$901,$B$2)</f>
        <v>59</v>
      </c>
      <c r="E8" s="20" t="n">
        <v>3</v>
      </c>
      <c r="F8" s="20"/>
      <c r="G8" s="20" t="s">
        <v>48</v>
      </c>
      <c r="H8" s="26" t="n">
        <f aca="false">SUMIFS(Data!$K$2:$K$901,Data!$M$2:$M$901,"Delivered",Data!$F$2:$F$901,$G8,Data!$E$2:$E$901,$B$1)</f>
        <v>9536</v>
      </c>
      <c r="I8" s="20"/>
      <c r="J8" s="20"/>
      <c r="K8" s="20" t="s">
        <v>59</v>
      </c>
      <c r="L8" s="26" t="n">
        <f aca="false">SUMIFS(Data!$K$2:$K$901,Data!$M$2:$M$901,"Delivered",Data!$E$2:$E$901,$K8,Data!$F$2:$F$901,$B$2)</f>
        <v>7902</v>
      </c>
    </row>
    <row r="9" customFormat="false" ht="15" hidden="false" customHeight="false" outlineLevel="0" collapsed="false">
      <c r="A9" s="20" t="s">
        <v>1712</v>
      </c>
      <c r="B9" s="26" t="n">
        <f aca="false">SUMIFS(Data!$K$2:$K$901,Data!$M$2:$M$901,"Delivered",Data!$C$2:$C$901,$E9,Data!$E$2:$E$901,$B$1,Data!$F$2:$F$901,$B$2)</f>
        <v>2728</v>
      </c>
      <c r="C9" s="26" t="n">
        <f aca="false">SUMIFS(Data!$L$2:$L$901,Data!$M$2:$M$901,"Delivered",Data!$C$2:$C$901,$E9,Data!$E$2:$E$901,$B$1,Data!$F$2:$F$901,$B$2)</f>
        <v>1648</v>
      </c>
      <c r="D9" s="20" t="n">
        <f aca="false">COUNTIFS(Data!$M$2:$M$901,"Delivered",Data!$C$2:$C$901,$E9,Data!$E$2:$E$901,$B$1,Data!$F$2:$F$901,$B$2)</f>
        <v>53</v>
      </c>
      <c r="E9" s="20" t="n">
        <v>4</v>
      </c>
      <c r="F9" s="20"/>
      <c r="G9" s="20" t="s">
        <v>81</v>
      </c>
      <c r="H9" s="26" t="n">
        <f aca="false">SUMIFS(Data!$K$2:$K$901,Data!$M$2:$M$901,"Delivered",Data!$F$2:$F$901,$G9,Data!$E$2:$E$901,$B$1)</f>
        <v>9216</v>
      </c>
      <c r="I9" s="20"/>
      <c r="J9" s="20"/>
      <c r="K9" s="20" t="s">
        <v>65</v>
      </c>
      <c r="L9" s="26" t="n">
        <f aca="false">SUMIFS(Data!$K$2:$K$901,Data!$M$2:$M$901,"Delivered",Data!$E$2:$E$901,$K9,Data!$F$2:$F$901,$B$2)</f>
        <v>6650</v>
      </c>
    </row>
    <row r="10" customFormat="false" ht="15" hidden="false" customHeight="false" outlineLevel="0" collapsed="false">
      <c r="A10" s="20" t="s">
        <v>1713</v>
      </c>
      <c r="B10" s="26" t="n">
        <f aca="false">SUMIFS(Data!$K$2:$K$901,Data!$M$2:$M$901,"Delivered",Data!$C$2:$C$901,$E10,Data!$E$2:$E$901,$B$1,Data!$F$2:$F$901,$B$2)</f>
        <v>4135</v>
      </c>
      <c r="C10" s="26" t="n">
        <f aca="false">SUMIFS(Data!$L$2:$L$901,Data!$M$2:$M$901,"Delivered",Data!$C$2:$C$901,$E10,Data!$E$2:$E$901,$B$1,Data!$F$2:$F$901,$B$2)</f>
        <v>2475</v>
      </c>
      <c r="D10" s="20" t="n">
        <f aca="false">COUNTIFS(Data!$M$2:$M$901,"Delivered",Data!$C$2:$C$901,$E10,Data!$E$2:$E$901,$B$1,Data!$F$2:$F$901,$B$2)</f>
        <v>70</v>
      </c>
      <c r="E10" s="20" t="n">
        <v>5</v>
      </c>
      <c r="F10" s="20"/>
      <c r="G10" s="20" t="s">
        <v>110</v>
      </c>
      <c r="H10" s="26" t="n">
        <f aca="false">SUMIFS(Data!$K$2:$K$901,Data!$M$2:$M$901,"Delivered",Data!$F$2:$F$901,$G10,Data!$E$2:$E$901,$B$1)</f>
        <v>4438</v>
      </c>
      <c r="I10" s="20"/>
      <c r="J10" s="20"/>
      <c r="K10" s="20" t="s">
        <v>109</v>
      </c>
      <c r="L10" s="26" t="n">
        <f aca="false">SUMIFS(Data!$K$2:$K$901,Data!$M$2:$M$901,"Delivered",Data!$E$2:$E$901,$K10,Data!$F$2:$F$901,$B$2)</f>
        <v>5646</v>
      </c>
    </row>
    <row r="11" customFormat="false" ht="15" hidden="false" customHeight="false" outlineLevel="0" collapsed="false">
      <c r="A11" s="20" t="s">
        <v>1714</v>
      </c>
      <c r="B11" s="26" t="n">
        <f aca="false">SUMIFS(Data!$K$2:$K$901,Data!$M$2:$M$901,"Delivered",Data!$C$2:$C$901,$E11,Data!$E$2:$E$901,$B$1,Data!$F$2:$F$901,$B$2)</f>
        <v>4412</v>
      </c>
      <c r="C11" s="26" t="n">
        <f aca="false">SUMIFS(Data!$L$2:$L$901,Data!$M$2:$M$901,"Delivered",Data!$C$2:$C$901,$E11,Data!$E$2:$E$901,$B$1,Data!$F$2:$F$901,$B$2)</f>
        <v>2641</v>
      </c>
      <c r="D11" s="20" t="n">
        <f aca="false">COUNTIFS(Data!$M$2:$M$901,"Delivered",Data!$C$2:$C$901,$E11,Data!$E$2:$E$901,$B$1,Data!$F$2:$F$901,$B$2)</f>
        <v>79</v>
      </c>
      <c r="E11" s="20" t="n">
        <v>6</v>
      </c>
      <c r="F11" s="20"/>
      <c r="G11" s="20"/>
      <c r="H11" s="20"/>
      <c r="I11" s="20"/>
      <c r="J11" s="20"/>
      <c r="K11" s="20"/>
      <c r="L11" s="20"/>
    </row>
    <row r="12" customFormat="false" ht="15" hidden="false" customHeight="false" outlineLevel="0" collapsed="false">
      <c r="A12" s="20" t="s">
        <v>1715</v>
      </c>
      <c r="B12" s="26" t="n">
        <f aca="false">SUMIFS(Data!$K$2:$K$901,Data!$M$2:$M$901,"Delivered",Data!$C$2:$C$901,$E12,Data!$E$2:$E$901,$B$1,Data!$F$2:$F$901,$B$2)</f>
        <v>2876</v>
      </c>
      <c r="C12" s="26" t="n">
        <f aca="false">SUMIFS(Data!$L$2:$L$901,Data!$M$2:$M$901,"Delivered",Data!$C$2:$C$901,$E12,Data!$E$2:$E$901,$B$1,Data!$F$2:$F$901,$B$2)</f>
        <v>1732</v>
      </c>
      <c r="D12" s="20" t="n">
        <f aca="false">COUNTIFS(Data!$M$2:$M$901,"Delivered",Data!$C$2:$C$901,$E12,Data!$E$2:$E$901,$B$1,Data!$F$2:$F$901,$B$2)</f>
        <v>61</v>
      </c>
      <c r="E12" s="20" t="n">
        <v>7</v>
      </c>
      <c r="F12" s="20"/>
      <c r="G12" s="20"/>
      <c r="H12" s="20"/>
      <c r="I12" s="20"/>
      <c r="J12" s="20"/>
      <c r="K12" s="20"/>
      <c r="L12" s="20"/>
    </row>
    <row r="13" customFormat="false" ht="15" hidden="false" customHeight="false" outlineLevel="0" collapsed="false">
      <c r="A13" s="20" t="s">
        <v>1716</v>
      </c>
      <c r="B13" s="26" t="n">
        <f aca="false">SUMIFS(Data!$K$2:$K$901,Data!$M$2:$M$901,"Delivered",Data!$C$2:$C$901,$E13,Data!$E$2:$E$901,$B$1,Data!$F$2:$F$901,$B$2)</f>
        <v>4419</v>
      </c>
      <c r="C13" s="26" t="n">
        <f aca="false">SUMIFS(Data!$L$2:$L$901,Data!$M$2:$M$901,"Delivered",Data!$C$2:$C$901,$E13,Data!$E$2:$E$901,$B$1,Data!$F$2:$F$901,$B$2)</f>
        <v>2629</v>
      </c>
      <c r="D13" s="20" t="n">
        <f aca="false">COUNTIFS(Data!$M$2:$M$901,"Delivered",Data!$C$2:$C$901,$E13,Data!$E$2:$E$901,$B$1,Data!$F$2:$F$901,$B$2)</f>
        <v>72</v>
      </c>
      <c r="E13" s="20" t="n">
        <v>8</v>
      </c>
      <c r="F13" s="20"/>
      <c r="G13" s="20"/>
      <c r="H13" s="20"/>
      <c r="I13" s="20"/>
      <c r="J13" s="20"/>
      <c r="K13" s="20"/>
      <c r="L13" s="20"/>
    </row>
    <row r="14" customFormat="false" ht="15" hidden="false" customHeight="false" outlineLevel="0" collapsed="false">
      <c r="A14" s="20" t="s">
        <v>1717</v>
      </c>
      <c r="B14" s="26" t="n">
        <f aca="false">SUMIFS(Data!$K$2:$K$901,Data!$M$2:$M$901,"Delivered",Data!$C$2:$C$901,$E14,Data!$E$2:$E$901,$B$1,Data!$F$2:$F$901,$B$2)</f>
        <v>3685</v>
      </c>
      <c r="C14" s="26" t="n">
        <f aca="false">SUMIFS(Data!$L$2:$L$901,Data!$M$2:$M$901,"Delivered",Data!$C$2:$C$901,$E14,Data!$E$2:$E$901,$B$1,Data!$F$2:$F$901,$B$2)</f>
        <v>2243</v>
      </c>
      <c r="D14" s="20" t="n">
        <f aca="false">COUNTIFS(Data!$M$2:$M$901,"Delivered",Data!$C$2:$C$901,$E14,Data!$E$2:$E$901,$B$1,Data!$F$2:$F$901,$B$2)</f>
        <v>73</v>
      </c>
      <c r="E14" s="20" t="n">
        <v>9</v>
      </c>
      <c r="F14" s="20"/>
      <c r="G14" s="20"/>
      <c r="H14" s="20"/>
      <c r="I14" s="20"/>
      <c r="J14" s="20"/>
      <c r="K14" s="20"/>
      <c r="L14" s="20"/>
    </row>
    <row r="15" customFormat="false" ht="15" hidden="false" customHeight="false" outlineLevel="0" collapsed="false">
      <c r="A15" s="20" t="s">
        <v>1718</v>
      </c>
      <c r="B15" s="26" t="n">
        <f aca="false">SUMIFS(Data!$K$2:$K$901,Data!$M$2:$M$901,"Delivered",Data!$C$2:$C$901,$E15,Data!$E$2:$E$901,$B$1,Data!$F$2:$F$901,$B$2)</f>
        <v>4236</v>
      </c>
      <c r="C15" s="26" t="n">
        <f aca="false">SUMIFS(Data!$L$2:$L$901,Data!$M$2:$M$901,"Delivered",Data!$C$2:$C$901,$E15,Data!$E$2:$E$901,$B$1,Data!$F$2:$F$901,$B$2)</f>
        <v>2521</v>
      </c>
      <c r="D15" s="20" t="n">
        <f aca="false">COUNTIFS(Data!$M$2:$M$901,"Delivered",Data!$C$2:$C$901,$E15,Data!$E$2:$E$901,$B$1,Data!$F$2:$F$901,$B$2)</f>
        <v>72</v>
      </c>
      <c r="E15" s="20" t="n">
        <v>10</v>
      </c>
      <c r="F15" s="20"/>
      <c r="G15" s="20"/>
      <c r="H15" s="20"/>
      <c r="I15" s="20"/>
      <c r="J15" s="20"/>
      <c r="K15" s="20"/>
      <c r="L15" s="20"/>
    </row>
    <row r="16" customFormat="false" ht="15" hidden="false" customHeight="false" outlineLevel="0" collapsed="false">
      <c r="A16" s="20" t="s">
        <v>1719</v>
      </c>
      <c r="B16" s="26" t="n">
        <f aca="false">SUMIFS(Data!$K$2:$K$901,Data!$M$2:$M$901,"Delivered",Data!$C$2:$C$901,$E16,Data!$E$2:$E$901,$B$1,Data!$F$2:$F$901,$B$2)</f>
        <v>5262</v>
      </c>
      <c r="C16" s="26" t="n">
        <f aca="false">SUMIFS(Data!$L$2:$L$901,Data!$M$2:$M$901,"Delivered",Data!$C$2:$C$901,$E16,Data!$E$2:$E$901,$B$1,Data!$F$2:$F$901,$B$2)</f>
        <v>3188</v>
      </c>
      <c r="D16" s="20" t="n">
        <f aca="false">COUNTIFS(Data!$M$2:$M$901,"Delivered",Data!$C$2:$C$901,$E16,Data!$E$2:$E$901,$B$1,Data!$F$2:$F$901,$B$2)</f>
        <v>95</v>
      </c>
      <c r="E16" s="20" t="n">
        <v>11</v>
      </c>
      <c r="F16" s="20"/>
      <c r="G16" s="20"/>
      <c r="H16" s="20"/>
      <c r="I16" s="20"/>
      <c r="J16" s="20"/>
      <c r="K16" s="20"/>
      <c r="L16" s="20"/>
    </row>
    <row r="17" customFormat="false" ht="15" hidden="false" customHeight="false" outlineLevel="0" collapsed="false">
      <c r="A17" s="20" t="s">
        <v>1720</v>
      </c>
      <c r="B17" s="26" t="n">
        <f aca="false">SUMIFS(Data!$K$2:$K$901,Data!$M$2:$M$901,"Delivered",Data!$C$2:$C$901,$E17,Data!$E$2:$E$901,$B$1,Data!$F$2:$F$901,$B$2)</f>
        <v>5016</v>
      </c>
      <c r="C17" s="26" t="n">
        <f aca="false">SUMIFS(Data!$L$2:$L$901,Data!$M$2:$M$901,"Delivered",Data!$C$2:$C$901,$E17,Data!$E$2:$E$901,$B$1,Data!$F$2:$F$901,$B$2)</f>
        <v>3021</v>
      </c>
      <c r="D17" s="20" t="n">
        <f aca="false">COUNTIFS(Data!$M$2:$M$901,"Delivered",Data!$C$2:$C$901,$E17,Data!$E$2:$E$901,$B$1,Data!$F$2:$F$901,$B$2)</f>
        <v>99</v>
      </c>
      <c r="E17" s="20" t="n">
        <v>12</v>
      </c>
      <c r="F17" s="20"/>
      <c r="G17" s="20"/>
      <c r="H17" s="20"/>
      <c r="I17" s="20"/>
      <c r="J17" s="20"/>
      <c r="K17" s="20"/>
      <c r="L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customFormat="false" ht="15" hidden="false" customHeight="false" outlineLevel="0" collapsed="false">
      <c r="A21" s="25" t="s">
        <v>1698</v>
      </c>
      <c r="B21" s="25" t="s">
        <v>4</v>
      </c>
      <c r="C21" s="25" t="s">
        <v>1707</v>
      </c>
      <c r="D21" s="25" t="s">
        <v>1721</v>
      </c>
      <c r="E21" s="20"/>
      <c r="F21" s="20"/>
      <c r="G21" s="25" t="s">
        <v>1722</v>
      </c>
      <c r="H21" s="25" t="s">
        <v>1723</v>
      </c>
      <c r="I21" s="25" t="s">
        <v>1707</v>
      </c>
      <c r="J21" s="20"/>
      <c r="K21" s="20"/>
      <c r="L21" s="20"/>
    </row>
    <row r="22" customFormat="false" ht="15" hidden="false" customHeight="false" outlineLevel="0" collapsed="false">
      <c r="A22" s="20" t="s">
        <v>105</v>
      </c>
      <c r="B22" s="20" t="s">
        <v>92</v>
      </c>
      <c r="C22" s="26" t="n">
        <f aca="false">SUMIFS(Data!$K$2:$K$901,Data!$M$2:$M$901,"Delivered",Data!$G$2:$G$901,$A22,Data!$E$2:$E$901,$B$1,Data!$F$2:$F$901,$B$2)</f>
        <v>5145</v>
      </c>
      <c r="D22" s="27" t="n">
        <f aca="false">C22+ROW()/1000000</f>
        <v>5145.000022</v>
      </c>
      <c r="E22" s="20"/>
      <c r="F22" s="20"/>
      <c r="G22" s="20" t="n">
        <v>1</v>
      </c>
      <c r="H22" s="20" t="str">
        <f aca="false">INDEX($A$22:$A$36,MATCH(LARGE($D$22:$D$36,G22),$D$22:$D$36,0))</f>
        <v>Smart Watch</v>
      </c>
      <c r="I22" s="26" t="n">
        <f aca="false">INDEX($C$22:$C$36,MATCH(LARGE($D$22:$D$36,G22),$D$22:$D$36,0))</f>
        <v>7832</v>
      </c>
      <c r="J22" s="20"/>
      <c r="K22" s="20"/>
      <c r="L22" s="20"/>
    </row>
    <row r="23" customFormat="false" ht="15" hidden="false" customHeight="false" outlineLevel="0" collapsed="false">
      <c r="A23" s="20" t="s">
        <v>196</v>
      </c>
      <c r="B23" s="20" t="s">
        <v>92</v>
      </c>
      <c r="C23" s="26" t="n">
        <f aca="false">SUMIFS(Data!$K$2:$K$901,Data!$M$2:$M$901,"Delivered",Data!$G$2:$G$901,$A23,Data!$E$2:$E$901,$B$1,Data!$F$2:$F$901,$B$2)</f>
        <v>7832</v>
      </c>
      <c r="D23" s="27" t="n">
        <f aca="false">C23+ROW()/1000000</f>
        <v>7832.000023</v>
      </c>
      <c r="E23" s="20"/>
      <c r="F23" s="20"/>
      <c r="G23" s="20" t="n">
        <v>2</v>
      </c>
      <c r="H23" s="20" t="str">
        <f aca="false">INDEX($A$22:$A$36,MATCH(LARGE($D$22:$D$36,G23),$D$22:$D$36,0))</f>
        <v>Hair Dryer</v>
      </c>
      <c r="I23" s="26" t="n">
        <f aca="false">INDEX($C$22:$C$36,MATCH(LARGE($D$22:$D$36,G23),$D$22:$D$36,0))</f>
        <v>5562</v>
      </c>
      <c r="J23" s="20"/>
      <c r="K23" s="20"/>
      <c r="L23" s="20"/>
    </row>
    <row r="24" customFormat="false" ht="15" hidden="false" customHeight="false" outlineLevel="0" collapsed="false">
      <c r="A24" s="20" t="s">
        <v>93</v>
      </c>
      <c r="B24" s="20" t="s">
        <v>92</v>
      </c>
      <c r="C24" s="26" t="n">
        <f aca="false">SUMIFS(Data!$K$2:$K$901,Data!$M$2:$M$901,"Delivered",Data!$G$2:$G$901,$A24,Data!$E$2:$E$901,$B$1,Data!$F$2:$F$901,$B$2)</f>
        <v>1425</v>
      </c>
      <c r="D24" s="27" t="n">
        <f aca="false">C24+ROW()/1000000</f>
        <v>1425.000024</v>
      </c>
      <c r="E24" s="20"/>
      <c r="F24" s="20"/>
      <c r="G24" s="20" t="n">
        <v>3</v>
      </c>
      <c r="H24" s="20" t="str">
        <f aca="false">INDEX($A$22:$A$36,MATCH(LARGE($D$22:$D$36,G24),$D$22:$D$36,0))</f>
        <v>Wireless Earbuds</v>
      </c>
      <c r="I24" s="26" t="n">
        <f aca="false">INDEX($C$22:$C$36,MATCH(LARGE($D$22:$D$36,G24),$D$22:$D$36,0))</f>
        <v>5145</v>
      </c>
      <c r="J24" s="20"/>
      <c r="K24" s="20"/>
      <c r="L24" s="20"/>
    </row>
    <row r="25" customFormat="false" ht="15" hidden="false" customHeight="false" outlineLevel="0" collapsed="false">
      <c r="A25" s="20" t="s">
        <v>72</v>
      </c>
      <c r="B25" s="20" t="s">
        <v>54</v>
      </c>
      <c r="C25" s="26" t="n">
        <f aca="false">SUMIFS(Data!$K$2:$K$901,Data!$M$2:$M$901,"Delivered",Data!$G$2:$G$901,$A25,Data!$E$2:$E$901,$B$1,Data!$F$2:$F$901,$B$2)</f>
        <v>2088</v>
      </c>
      <c r="D25" s="27" t="n">
        <f aca="false">C25+ROW()/1000000</f>
        <v>2088.000025</v>
      </c>
      <c r="E25" s="20"/>
      <c r="F25" s="20"/>
      <c r="G25" s="20" t="n">
        <v>4</v>
      </c>
      <c r="H25" s="20" t="str">
        <f aca="false">INDEX($A$22:$A$36,MATCH(LARGE($D$22:$D$36,G25),$D$22:$D$36,0))</f>
        <v>Leather Wallet</v>
      </c>
      <c r="I25" s="26" t="n">
        <f aca="false">INDEX($C$22:$C$36,MATCH(LARGE($D$22:$D$36,G25),$D$22:$D$36,0))</f>
        <v>4230</v>
      </c>
      <c r="J25" s="20"/>
      <c r="K25" s="20"/>
      <c r="L25" s="20"/>
    </row>
    <row r="26" customFormat="false" ht="15" hidden="false" customHeight="false" outlineLevel="0" collapsed="false">
      <c r="A26" s="20" t="s">
        <v>76</v>
      </c>
      <c r="B26" s="20" t="s">
        <v>54</v>
      </c>
      <c r="C26" s="26" t="n">
        <f aca="false">SUMIFS(Data!$K$2:$K$901,Data!$M$2:$M$901,"Delivered",Data!$G$2:$G$901,$A26,Data!$E$2:$E$901,$B$1,Data!$F$2:$F$901,$B$2)</f>
        <v>2880</v>
      </c>
      <c r="D26" s="27" t="n">
        <f aca="false">C26+ROW()/1000000</f>
        <v>2880.000026</v>
      </c>
      <c r="E26" s="20"/>
      <c r="F26" s="20"/>
      <c r="G26" s="20" t="n">
        <v>5</v>
      </c>
      <c r="H26" s="20" t="str">
        <f aca="false">INDEX($A$22:$A$36,MATCH(LARGE($D$22:$D$36,G26),$D$22:$D$36,0))</f>
        <v>LED Desk Lamp</v>
      </c>
      <c r="I26" s="26" t="n">
        <f aca="false">INDEX($C$22:$C$36,MATCH(LARGE($D$22:$D$36,G26),$D$22:$D$36,0))</f>
        <v>3800</v>
      </c>
      <c r="J26" s="20"/>
      <c r="K26" s="20"/>
      <c r="L26" s="20"/>
    </row>
    <row r="27" customFormat="false" ht="15" hidden="false" customHeight="false" outlineLevel="0" collapsed="false">
      <c r="A27" s="20" t="s">
        <v>55</v>
      </c>
      <c r="B27" s="20" t="s">
        <v>54</v>
      </c>
      <c r="C27" s="26" t="n">
        <f aca="false">SUMIFS(Data!$K$2:$K$901,Data!$M$2:$M$901,"Delivered",Data!$G$2:$G$901,$A27,Data!$E$2:$E$901,$B$1,Data!$F$2:$F$901,$B$2)</f>
        <v>3800</v>
      </c>
      <c r="D27" s="27" t="n">
        <f aca="false">C27+ROW()/1000000</f>
        <v>3800.000027</v>
      </c>
      <c r="E27" s="20"/>
      <c r="F27" s="20"/>
      <c r="G27" s="20"/>
      <c r="H27" s="20"/>
      <c r="I27" s="20"/>
      <c r="J27" s="20"/>
      <c r="K27" s="20"/>
      <c r="L27" s="20"/>
    </row>
    <row r="28" customFormat="false" ht="15" hidden="false" customHeight="false" outlineLevel="0" collapsed="false">
      <c r="A28" s="20" t="s">
        <v>116</v>
      </c>
      <c r="B28" s="20" t="s">
        <v>48</v>
      </c>
      <c r="C28" s="26" t="n">
        <f aca="false">SUMIFS(Data!$K$2:$K$901,Data!$M$2:$M$901,"Delivered",Data!$G$2:$G$901,$A28,Data!$E$2:$E$901,$B$1,Data!$F$2:$F$901,$B$2)</f>
        <v>2660</v>
      </c>
      <c r="D28" s="27" t="n">
        <f aca="false">C28+ROW()/1000000</f>
        <v>2660.000028</v>
      </c>
      <c r="E28" s="20"/>
      <c r="F28" s="20"/>
      <c r="G28" s="20"/>
      <c r="H28" s="20"/>
      <c r="I28" s="20"/>
      <c r="J28" s="20"/>
      <c r="K28" s="20"/>
      <c r="L28" s="20"/>
    </row>
    <row r="29" customFormat="false" ht="15" hidden="false" customHeight="false" outlineLevel="0" collapsed="false">
      <c r="A29" s="20" t="s">
        <v>144</v>
      </c>
      <c r="B29" s="20" t="s">
        <v>48</v>
      </c>
      <c r="C29" s="26" t="n">
        <f aca="false">SUMIFS(Data!$K$2:$K$901,Data!$M$2:$M$901,"Delivered",Data!$G$2:$G$901,$A29,Data!$E$2:$E$901,$B$1,Data!$F$2:$F$901,$B$2)</f>
        <v>5562</v>
      </c>
      <c r="D29" s="27" t="n">
        <f aca="false">C29+ROW()/1000000</f>
        <v>5562.000029</v>
      </c>
      <c r="E29" s="20"/>
      <c r="F29" s="20"/>
      <c r="G29" s="20"/>
      <c r="H29" s="20"/>
      <c r="I29" s="20"/>
      <c r="J29" s="20"/>
      <c r="K29" s="20"/>
      <c r="L29" s="20"/>
    </row>
    <row r="30" customFormat="false" ht="15" hidden="false" customHeight="false" outlineLevel="0" collapsed="false">
      <c r="A30" s="20" t="s">
        <v>49</v>
      </c>
      <c r="B30" s="20" t="s">
        <v>48</v>
      </c>
      <c r="C30" s="26" t="n">
        <f aca="false">SUMIFS(Data!$K$2:$K$901,Data!$M$2:$M$901,"Delivered",Data!$G$2:$G$901,$A30,Data!$E$2:$E$901,$B$1,Data!$F$2:$F$901,$B$2)</f>
        <v>1314</v>
      </c>
      <c r="D30" s="27" t="n">
        <f aca="false">C30+ROW()/1000000</f>
        <v>1314.00003</v>
      </c>
      <c r="E30" s="20"/>
      <c r="F30" s="20"/>
      <c r="G30" s="20"/>
      <c r="H30" s="20"/>
      <c r="I30" s="20"/>
      <c r="J30" s="20"/>
      <c r="K30" s="20"/>
      <c r="L30" s="20"/>
    </row>
    <row r="31" customFormat="false" ht="15" hidden="false" customHeight="false" outlineLevel="0" collapsed="false">
      <c r="A31" s="20" t="s">
        <v>82</v>
      </c>
      <c r="B31" s="20" t="s">
        <v>81</v>
      </c>
      <c r="C31" s="26" t="n">
        <f aca="false">SUMIFS(Data!$K$2:$K$901,Data!$M$2:$M$901,"Delivered",Data!$G$2:$G$901,$A31,Data!$E$2:$E$901,$B$1,Data!$F$2:$F$901,$B$2)</f>
        <v>2046</v>
      </c>
      <c r="D31" s="27" t="n">
        <f aca="false">C31+ROW()/1000000</f>
        <v>2046.000031</v>
      </c>
      <c r="E31" s="20"/>
      <c r="F31" s="20"/>
      <c r="G31" s="20"/>
      <c r="H31" s="20"/>
      <c r="I31" s="20"/>
      <c r="J31" s="20"/>
      <c r="K31" s="20"/>
      <c r="L31" s="20"/>
    </row>
    <row r="32" customFormat="false" ht="15" hidden="false" customHeight="false" outlineLevel="0" collapsed="false">
      <c r="A32" s="20" t="s">
        <v>61</v>
      </c>
      <c r="B32" s="20" t="s">
        <v>81</v>
      </c>
      <c r="C32" s="26" t="n">
        <f aca="false">SUMIFS(Data!$K$2:$K$901,Data!$M$2:$M$901,"Delivered",Data!$G$2:$G$901,$A32,Data!$E$2:$E$901,$B$1,Data!$F$2:$F$901,$B$2)</f>
        <v>2940</v>
      </c>
      <c r="D32" s="27" t="n">
        <f aca="false">C32+ROW()/1000000</f>
        <v>2940.000032</v>
      </c>
      <c r="E32" s="20"/>
      <c r="F32" s="20"/>
      <c r="G32" s="20"/>
      <c r="H32" s="20"/>
      <c r="I32" s="20"/>
      <c r="J32" s="20"/>
      <c r="K32" s="20"/>
      <c r="L32" s="20"/>
    </row>
    <row r="33" customFormat="false" ht="15" hidden="false" customHeight="false" outlineLevel="0" collapsed="false">
      <c r="A33" s="20" t="s">
        <v>67</v>
      </c>
      <c r="B33" s="20" t="s">
        <v>81</v>
      </c>
      <c r="C33" s="26" t="n">
        <f aca="false">SUMIFS(Data!$K$2:$K$901,Data!$M$2:$M$901,"Delivered",Data!$G$2:$G$901,$A33,Data!$E$2:$E$901,$B$1,Data!$F$2:$F$901,$B$2)</f>
        <v>4230</v>
      </c>
      <c r="D33" s="27" t="n">
        <f aca="false">C33+ROW()/1000000</f>
        <v>4230.000033</v>
      </c>
      <c r="E33" s="20"/>
      <c r="F33" s="20"/>
      <c r="G33" s="20"/>
      <c r="H33" s="20"/>
      <c r="I33" s="20"/>
      <c r="J33" s="20"/>
      <c r="K33" s="20"/>
      <c r="L33" s="20"/>
    </row>
    <row r="34" customFormat="false" ht="15" hidden="false" customHeight="false" outlineLevel="0" collapsed="false">
      <c r="A34" s="20" t="s">
        <v>236</v>
      </c>
      <c r="B34" s="20" t="s">
        <v>110</v>
      </c>
      <c r="C34" s="26" t="n">
        <f aca="false">SUMIFS(Data!$K$2:$K$901,Data!$M$2:$M$901,"Delivered",Data!$G$2:$G$901,$A34,Data!$E$2:$E$901,$B$1,Data!$F$2:$F$901,$B$2)</f>
        <v>1770</v>
      </c>
      <c r="D34" s="27" t="n">
        <f aca="false">C34+ROW()/1000000</f>
        <v>1770.000034</v>
      </c>
      <c r="E34" s="20"/>
      <c r="F34" s="20"/>
      <c r="G34" s="20"/>
      <c r="H34" s="20"/>
      <c r="I34" s="20"/>
      <c r="J34" s="20"/>
      <c r="K34" s="20"/>
      <c r="L34" s="20"/>
    </row>
    <row r="35" customFormat="false" ht="15" hidden="false" customHeight="false" outlineLevel="0" collapsed="false">
      <c r="A35" s="20" t="s">
        <v>111</v>
      </c>
      <c r="B35" s="20" t="s">
        <v>110</v>
      </c>
      <c r="C35" s="26" t="n">
        <f aca="false">SUMIFS(Data!$K$2:$K$901,Data!$M$2:$M$901,"Delivered",Data!$G$2:$G$901,$A35,Data!$E$2:$E$901,$B$1,Data!$F$2:$F$901,$B$2)</f>
        <v>1408</v>
      </c>
      <c r="D35" s="27" t="n">
        <f aca="false">C35+ROW()/1000000</f>
        <v>1408.000035</v>
      </c>
      <c r="E35" s="20"/>
      <c r="F35" s="20"/>
      <c r="G35" s="20"/>
      <c r="H35" s="20"/>
      <c r="I35" s="20"/>
      <c r="J35" s="20"/>
      <c r="K35" s="20"/>
      <c r="L35" s="20"/>
    </row>
    <row r="36" customFormat="false" ht="15" hidden="false" customHeight="false" outlineLevel="0" collapsed="false">
      <c r="A36" s="20" t="s">
        <v>121</v>
      </c>
      <c r="B36" s="20" t="s">
        <v>110</v>
      </c>
      <c r="C36" s="26" t="n">
        <f aca="false">SUMIFS(Data!$K$2:$K$901,Data!$M$2:$M$901,"Delivered",Data!$G$2:$G$901,$A36,Data!$E$2:$E$901,$B$1,Data!$F$2:$F$901,$B$2)</f>
        <v>1260</v>
      </c>
      <c r="D36" s="27" t="n">
        <f aca="false">C36+ROW()/1000000</f>
        <v>1260.000036</v>
      </c>
      <c r="E36" s="20"/>
      <c r="F36" s="20"/>
      <c r="G36" s="20"/>
      <c r="H36" s="20"/>
      <c r="I36" s="20"/>
      <c r="J36" s="20"/>
      <c r="K36" s="20"/>
      <c r="L36" s="20"/>
    </row>
    <row r="38" customFormat="false" ht="15" hidden="false" customHeight="false" outlineLevel="0" collapsed="false">
      <c r="A38" s="18" t="s">
        <v>1724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2026-09-30T09:11:25Z</dcterms:created>
  <dc:creator>openpyxl</dc:creator>
  <dc:description/>
  <dc:language>en-US</dc:language>
  <cp:lastModifiedBy/>
  <dcterms:modified xsi:type="dcterms:W3CDTF">2026-09-30T09:11:28Z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