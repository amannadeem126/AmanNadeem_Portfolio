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quiries" sheetId="2" state="visible" r:id="rId4"/>
    <sheet name="Dashboard" sheetId="3" state="visible" r:id="rId5"/>
  </sheets>
  <definedNames>
    <definedName function="false" hidden="true" localSheetId="1" name="_xlnm._FilterDatabase" vbProcedure="false">Inquiries!$A$4:$L$204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<sst xmlns="http://schemas.openxmlformats.org/spreadsheetml/2006/main" count="175" uniqueCount="120">
  <si>
    <t xml:space="preserve">School Admissions Inquiry Tracker</t>
  </si>
  <si>
    <t xml:space="preserve">Sample version with dummy data. All names and phone numbers are invented.</t>
  </si>
  <si>
    <t xml:space="preserve">How to use</t>
  </si>
  <si>
    <t xml:space="preserve">Go to the Inquiries sheet. Add one row for every parent inquiry: walk in, call, WhatsApp, website or Instagram.</t>
  </si>
  <si>
    <t xml:space="preserve">Fill the white columns: Date, Parent, Phone, Child, Grade, Source, Status, Follow up date and Notes. Use the drop down lists for Grade, Source and Status.</t>
  </si>
  <si>
    <t xml:space="preserve">Grey columns are automatic: ID, Days since inquiry and Action. Do not type in them.</t>
  </si>
  <si>
    <t xml:space="preserve">Update Status as the family moves forward: New, Contacted, Visit Booked, Visited, Enrolled or Lost.</t>
  </si>
  <si>
    <t xml:space="preserve">The Action column turns red and says Follow up now when the follow up date is today or earlier.</t>
  </si>
  <si>
    <t xml:space="preserve">The Dashboard sheet updates by itself with totals, conversion rate, follow ups due, and results by source and grade.</t>
  </si>
  <si>
    <t xml:space="preserve">Good to know</t>
  </si>
  <si>
    <t xml:space="preserve">•</t>
  </si>
  <si>
    <t xml:space="preserve">Rows 5 to 204 on the Inquiries sheet are ready for use. To add more rows, copy the last row down.</t>
  </si>
  <si>
    <t xml:space="preserve">Conversion rate = Enrolled divided by total inquiries.</t>
  </si>
  <si>
    <t xml:space="preserve">Days since inquiry and follow up alerts use today's date, so they change every day.</t>
  </si>
  <si>
    <t xml:space="preserve">The sample rows are dummy data. Delete them before entering real inquiries (select the white cells and clear them).</t>
  </si>
  <si>
    <t xml:space="preserve">Admissions Inquiries</t>
  </si>
  <si>
    <t xml:space="preserve">White columns: type here. Grey columns: automatic. Dummy data for demonstration.</t>
  </si>
  <si>
    <t xml:space="preserve">ID</t>
  </si>
  <si>
    <t xml:space="preserve">Date</t>
  </si>
  <si>
    <t xml:space="preserve">Parent name</t>
  </si>
  <si>
    <t xml:space="preserve">Phone</t>
  </si>
  <si>
    <t xml:space="preserve">Child name</t>
  </si>
  <si>
    <t xml:space="preserve">Grade</t>
  </si>
  <si>
    <t xml:space="preserve">Source</t>
  </si>
  <si>
    <t xml:space="preserve">Status</t>
  </si>
  <si>
    <t xml:space="preserve">Follow up date</t>
  </si>
  <si>
    <t xml:space="preserve">Days since inquiry</t>
  </si>
  <si>
    <t xml:space="preserve">Action</t>
  </si>
  <si>
    <t xml:space="preserve">Notes</t>
  </si>
  <si>
    <t xml:space="preserve">Ayesha Malik</t>
  </si>
  <si>
    <t xml:space="preserve">0300 000 0001</t>
  </si>
  <si>
    <t xml:space="preserve">Hamza</t>
  </si>
  <si>
    <t xml:space="preserve">Grade 3</t>
  </si>
  <si>
    <t xml:space="preserve">Walk in</t>
  </si>
  <si>
    <t xml:space="preserve">Enrolled</t>
  </si>
  <si>
    <t xml:space="preserve">Paid registration</t>
  </si>
  <si>
    <t xml:space="preserve">Bilal Raza</t>
  </si>
  <si>
    <t xml:space="preserve">0300 000 0002</t>
  </si>
  <si>
    <t xml:space="preserve">Inaya</t>
  </si>
  <si>
    <t xml:space="preserve">Nursery</t>
  </si>
  <si>
    <t xml:space="preserve">WhatsApp</t>
  </si>
  <si>
    <t xml:space="preserve">Visited</t>
  </si>
  <si>
    <t xml:space="preserve">Wants fee installments</t>
  </si>
  <si>
    <t xml:space="preserve">Sana Tariq</t>
  </si>
  <si>
    <t xml:space="preserve">0300 000 0003</t>
  </si>
  <si>
    <t xml:space="preserve">Zain</t>
  </si>
  <si>
    <t xml:space="preserve">Grade 1</t>
  </si>
  <si>
    <t xml:space="preserve">Instagram</t>
  </si>
  <si>
    <t xml:space="preserve">Contacted</t>
  </si>
  <si>
    <t xml:space="preserve">Asked about transport</t>
  </si>
  <si>
    <t xml:space="preserve">Usman Ali</t>
  </si>
  <si>
    <t xml:space="preserve">0300 000 0004</t>
  </si>
  <si>
    <t xml:space="preserve">Maryam</t>
  </si>
  <si>
    <t xml:space="preserve">Prep</t>
  </si>
  <si>
    <t xml:space="preserve">Phone call</t>
  </si>
  <si>
    <t xml:space="preserve">Hina Farooq</t>
  </si>
  <si>
    <t xml:space="preserve">0300 000 0005</t>
  </si>
  <si>
    <t xml:space="preserve">Ali</t>
  </si>
  <si>
    <t xml:space="preserve">Grade 6</t>
  </si>
  <si>
    <t xml:space="preserve">Website form</t>
  </si>
  <si>
    <t xml:space="preserve">Lost</t>
  </si>
  <si>
    <t xml:space="preserve">Chose another school</t>
  </si>
  <si>
    <t xml:space="preserve">Kamran Shah</t>
  </si>
  <si>
    <t xml:space="preserve">0300 000 0006</t>
  </si>
  <si>
    <t xml:space="preserve">Noor</t>
  </si>
  <si>
    <t xml:space="preserve">Grade 2</t>
  </si>
  <si>
    <t xml:space="preserve">Visit Booked</t>
  </si>
  <si>
    <t xml:space="preserve">Visit on Saturday</t>
  </si>
  <si>
    <t xml:space="preserve">Farah Imran</t>
  </si>
  <si>
    <t xml:space="preserve">0300 000 0007</t>
  </si>
  <si>
    <t xml:space="preserve">Ahmed</t>
  </si>
  <si>
    <t xml:space="preserve">Grade 4</t>
  </si>
  <si>
    <t xml:space="preserve">Sent fee structure</t>
  </si>
  <si>
    <t xml:space="preserve">Omar Khalid</t>
  </si>
  <si>
    <t xml:space="preserve">0300 000 0008</t>
  </si>
  <si>
    <t xml:space="preserve">Laiba</t>
  </si>
  <si>
    <t xml:space="preserve">Referral</t>
  </si>
  <si>
    <t xml:space="preserve">Referred by parent</t>
  </si>
  <si>
    <t xml:space="preserve">Nadia Hussain</t>
  </si>
  <si>
    <t xml:space="preserve">0300 000 0009</t>
  </si>
  <si>
    <t xml:space="preserve">Daniyal</t>
  </si>
  <si>
    <t xml:space="preserve">Grade 5</t>
  </si>
  <si>
    <t xml:space="preserve">New</t>
  </si>
  <si>
    <t xml:space="preserve">Tariq Mehmood</t>
  </si>
  <si>
    <t xml:space="preserve">0300 000 0010</t>
  </si>
  <si>
    <t xml:space="preserve">Eman</t>
  </si>
  <si>
    <t xml:space="preserve">Grade 8</t>
  </si>
  <si>
    <t xml:space="preserve">Wants scholarship info</t>
  </si>
  <si>
    <t xml:space="preserve">Rabia Anwar</t>
  </si>
  <si>
    <t xml:space="preserve">0300 000 0011</t>
  </si>
  <si>
    <t xml:space="preserve">Hassan</t>
  </si>
  <si>
    <t xml:space="preserve">Saad Iqbal</t>
  </si>
  <si>
    <t xml:space="preserve">0300 000 0012</t>
  </si>
  <si>
    <t xml:space="preserve">Fatima</t>
  </si>
  <si>
    <t xml:space="preserve">Fees too high</t>
  </si>
  <si>
    <t xml:space="preserve">Mehwish Ahmed</t>
  </si>
  <si>
    <t xml:space="preserve">0300 000 0013</t>
  </si>
  <si>
    <t xml:space="preserve">Rayyan</t>
  </si>
  <si>
    <t xml:space="preserve">Grade 7</t>
  </si>
  <si>
    <t xml:space="preserve">Adeel Hassan</t>
  </si>
  <si>
    <t xml:space="preserve">0300 000 0014</t>
  </si>
  <si>
    <t xml:space="preserve">Zara</t>
  </si>
  <si>
    <t xml:space="preserve">Call back requested</t>
  </si>
  <si>
    <t xml:space="preserve">Sidra Nawaz</t>
  </si>
  <si>
    <t xml:space="preserve">0300 000 0015</t>
  </si>
  <si>
    <t xml:space="preserve">Moiz</t>
  </si>
  <si>
    <t xml:space="preserve">Admissions Dashboard</t>
  </si>
  <si>
    <t xml:space="preserve">Updates automatically from the Inquiries sheet.</t>
  </si>
  <si>
    <t xml:space="preserve">TOTAL INQUIRIES</t>
  </si>
  <si>
    <t xml:space="preserve">IN PROGRESS</t>
  </si>
  <si>
    <t xml:space="preserve">ENROLLED</t>
  </si>
  <si>
    <t xml:space="preserve">CONVERSION RATE</t>
  </si>
  <si>
    <t xml:space="preserve">FOLLOW UPS DUE</t>
  </si>
  <si>
    <t xml:space="preserve">Pipeline by status</t>
  </si>
  <si>
    <t xml:space="preserve">Count</t>
  </si>
  <si>
    <t xml:space="preserve">Results by source</t>
  </si>
  <si>
    <t xml:space="preserve">Inquiries</t>
  </si>
  <si>
    <t xml:space="preserve">Conversion</t>
  </si>
  <si>
    <t xml:space="preserve">Results by grade</t>
  </si>
  <si>
    <t xml:space="preserve">Grade 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</si>
</sst>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dd\ mmm\ yyyy"/>
    <numFmt numFmtId="167" formatCode="0"/>
    <numFmt numFmtId="168" formatCode="0.0%"/>
    <numFmt numFmtId="16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C9D3E6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B99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28"/>
      <color rgb="FF1F2A44"/>
      <name val="Arial"/>
      <family val="0"/>
      <charset val="1"/>
    </font>
    <font>
      <b val="true"/>
      <sz val="28"/>
      <color rgb="FF1B998B"/>
      <name val="Arial"/>
      <family val="0"/>
      <charset val="1"/>
    </font>
    <font>
      <b val="true"/>
      <sz val="28"/>
      <color rgb="FF2E8B57"/>
      <name val="Arial"/>
      <family val="0"/>
      <charset val="1"/>
    </font>
    <font>
      <b val="true"/>
      <sz val="28"/>
      <color rgb="FFE67E22"/>
      <name val="Arial"/>
      <family val="0"/>
      <charset val="1"/>
    </font>
    <font>
      <b val="true"/>
      <sz val="28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1B998B"/>
        <bgColor rgb="FF2E8B57"/>
      </patternFill>
    </fill>
    <fill>
      <patternFill patternType="solid">
        <fgColor rgb="FFF4F7FA"/>
        <bgColor rgb="FFEEF0F3"/>
      </patternFill>
    </fill>
    <fill>
      <patternFill patternType="solid">
        <fgColor rgb="FFEEF0F3"/>
        <bgColor rgb="FFF4F7FA"/>
      </patternFill>
    </fill>
    <fill>
      <patternFill patternType="solid">
        <fgColor rgb="FFFFFFFF"/>
        <bgColor rgb="FFF4F7FA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998B"/>
      </bottom>
      <diagonal/>
    </border>
    <border diagonalUp="false" diagonalDown="false"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  <border diagonalUp="false" diagonalDown="false">
      <left style="thin">
        <color rgb="FFD0D4DA"/>
      </left>
      <right style="thin">
        <color rgb="FFD0D4DA"/>
      </right>
      <top style="thick">
        <color rgb="FF1F2A44"/>
      </top>
      <bottom/>
      <diagonal/>
    </border>
    <border diagonalUp="false" diagonalDown="false">
      <left style="thin">
        <color rgb="FFD0D4DA"/>
      </left>
      <right style="thin">
        <color rgb="FFD0D4DA"/>
      </right>
      <top style="thick">
        <color rgb="FF1B998B"/>
      </top>
      <bottom/>
      <diagonal/>
    </border>
    <border diagonalUp="false" diagonalDown="false">
      <left style="thin">
        <color rgb="FFD0D4DA"/>
      </left>
      <right style="thin">
        <color rgb="FFD0D4DA"/>
      </right>
      <top style="thick">
        <color rgb="FF2E8B57"/>
      </top>
      <bottom/>
      <diagonal/>
    </border>
    <border diagonalUp="false" diagonalDown="false">
      <left style="thin">
        <color rgb="FFD0D4DA"/>
      </left>
      <right style="thin">
        <color rgb="FFD0D4DA"/>
      </right>
      <top style="thick">
        <color rgb="FFE67E22"/>
      </top>
      <bottom/>
      <diagonal/>
    </border>
    <border diagonalUp="false" diagonalDown="false">
      <left style="thin">
        <color rgb="FFD0D4DA"/>
      </left>
      <right style="thin">
        <color rgb="FFD0D4DA"/>
      </right>
      <top style="thick">
        <color rgb="FFC0392B"/>
      </top>
      <bottom/>
      <diagonal/>
    </border>
    <border diagonalUp="false" diagonalDown="false">
      <left style="thin">
        <color rgb="FFD0D4DA"/>
      </left>
      <right style="thin">
        <color rgb="FFD0D4DA"/>
      </right>
      <top/>
      <bottom style="thin">
        <color rgb="FFD0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EF0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fgColor rgb="FFCDEFD3"/>
          <bgColor rgb="FF000000"/>
        </patternFill>
      </fill>
    </dxf>
    <dxf>
      <fill>
        <patternFill patternType="solid">
          <fgColor rgb="FFD2EEF0"/>
          <bgColor rgb="FF000000"/>
        </patternFill>
      </fill>
    </dxf>
    <dxf>
      <fill>
        <patternFill patternType="solid">
          <fgColor rgb="FFDCE9FF"/>
          <bgColor rgb="FF000000"/>
        </patternFill>
      </fill>
    </dxf>
    <dxf>
      <fill>
        <patternFill patternType="solid">
          <fgColor rgb="FFE3E3E3"/>
          <bgColor rgb="FF000000"/>
        </patternFill>
      </fill>
    </dxf>
    <dxf>
      <fill>
        <patternFill patternType="solid">
          <fgColor rgb="FFE8DDF7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 patternType="solid">
          <fgColor rgb="FF0B6B73"/>
          <bgColor rgb="FF000000"/>
        </patternFill>
      </fill>
    </dxf>
    <dxf>
      <fill>
        <patternFill patternType="solid">
          <fgColor rgb="FF1E6B2E"/>
          <bgColor rgb="FF000000"/>
        </patternFill>
      </fill>
    </dxf>
    <dxf>
      <fill>
        <patternFill patternType="solid">
          <fgColor rgb="FF1F4E9E"/>
          <bgColor rgb="FF000000"/>
        </patternFill>
      </fill>
    </dxf>
    <dxf>
      <fill>
        <patternFill patternType="solid">
          <fgColor rgb="FF5B2C91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7A5B00"/>
          <bgColor rgb="FF000000"/>
        </patternFill>
      </fill>
    </dxf>
    <dxf>
      <fill>
        <patternFill patternType="solid">
          <fgColor rgb="FFD5F0E8"/>
          <bgColor rgb="FF000000"/>
        </patternFill>
      </fill>
    </dxf>
    <dxf>
      <fill>
        <patternFill patternType="solid">
          <fgColor rgb="FFF8CBCB"/>
          <bgColor rgb="FF000000"/>
        </patternFill>
      </fill>
    </dxf>
    <dxf>
      <fill>
        <patternFill patternType="solid">
          <fgColor rgb="FF0B6B5D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CB"/>
        </patternFill>
      </fill>
    </dxf>
    <dxf>
      <font>
        <name val="Arial"/>
        <charset val="1"/>
        <family val="0"/>
        <color rgb="FF7A5B00"/>
      </font>
      <fill>
        <patternFill>
          <bgColor rgb="FFFFF2B3"/>
        </patternFill>
      </fill>
    </dxf>
    <dxf>
      <font>
        <name val="Arial"/>
        <charset val="1"/>
        <family val="0"/>
        <color rgb="FF0B6B5D"/>
      </font>
      <fill>
        <patternFill>
          <bgColor rgb="FFD5F0E8"/>
        </patternFill>
      </fill>
    </dxf>
    <dxf>
      <font>
        <name val="Arial"/>
        <charset val="1"/>
        <family val="0"/>
        <b val="1"/>
        <color rgb="FF1F4E9E"/>
      </font>
      <fill>
        <patternFill>
          <bgColor rgb="FFDCE9FF"/>
        </patternFill>
      </fill>
    </dxf>
    <dxf>
      <font>
        <name val="Arial"/>
        <charset val="1"/>
        <family val="0"/>
        <b val="1"/>
        <color rgb="FF7A5B00"/>
      </font>
      <fill>
        <patternFill>
          <bgColor rgb="FFFFF2B3"/>
        </patternFill>
      </fill>
    </dxf>
    <dxf>
      <font>
        <name val="Arial"/>
        <charset val="1"/>
        <family val="0"/>
        <b val="1"/>
        <color rgb="FF5B2C91"/>
      </font>
      <fill>
        <patternFill>
          <bgColor rgb="FFE8DDF7"/>
        </patternFill>
      </fill>
    </dxf>
    <dxf>
      <font>
        <name val="Arial"/>
        <charset val="1"/>
        <family val="0"/>
        <b val="1"/>
        <color rgb="FF0B6B73"/>
      </font>
      <fill>
        <patternFill>
          <bgColor rgb="FFD2EEF0"/>
        </patternFill>
      </fill>
    </dxf>
    <dxf>
      <font>
        <name val="Arial"/>
        <charset val="1"/>
        <family val="0"/>
        <b val="1"/>
        <color rgb="FF1E6B2E"/>
      </font>
      <fill>
        <patternFill>
          <bgColor rgb="FFCDEFD3"/>
        </patternFill>
      </fill>
    </dxf>
    <dxf>
      <font>
        <name val="Arial"/>
        <charset val="1"/>
        <family val="0"/>
        <b val="1"/>
        <color rgb="FF666666"/>
      </font>
      <fill>
        <patternFill>
          <bgColor rgb="FFE3E3E3"/>
        </patternFill>
      </fill>
    </dxf>
    <dxf>
      <fill>
        <patternFill>
          <bgColor rgb="FFF4F7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0F3"/>
      <rgbColor rgb="FFFF00FF"/>
      <rgbColor rgb="FF00FFFF"/>
      <rgbColor rgb="FF9C0006"/>
      <rgbColor rgb="FF1E6B2E"/>
      <rgbColor rgb="FF000080"/>
      <rgbColor rgb="FF7A5B00"/>
      <rgbColor rgb="FF800080"/>
      <rgbColor rgb="FF0B6B73"/>
      <rgbColor rgb="FFD0D4DA"/>
      <rgbColor rgb="FF878787"/>
      <rgbColor rgb="FFDCE9FF"/>
      <rgbColor rgb="FF993366"/>
      <rgbColor rgb="FFFFF2B3"/>
      <rgbColor rgb="FFD2EEF0"/>
      <rgbColor rgb="FF660066"/>
      <rgbColor rgb="FFFF8080"/>
      <rgbColor rgb="FF1F4E9E"/>
      <rgbColor rgb="FFC9D3E6"/>
      <rgbColor rgb="FF000080"/>
      <rgbColor rgb="FFFF00FF"/>
      <rgbColor rgb="FFFFFF00"/>
      <rgbColor rgb="FF00FFFF"/>
      <rgbColor rgb="FF800080"/>
      <rgbColor rgb="FF800000"/>
      <rgbColor rgb="FF0B6B5D"/>
      <rgbColor rgb="FF0000FF"/>
      <rgbColor rgb="FF00CCFF"/>
      <rgbColor rgb="FFD5F0E8"/>
      <rgbColor rgb="FFCDEFD3"/>
      <rgbColor rgb="FFF4F7FA"/>
      <rgbColor rgb="FFD9D9D9"/>
      <rgbColor rgb="FFE3E3E3"/>
      <rgbColor rgb="FFE8DDF7"/>
      <rgbColor rgb="FFF8CBCB"/>
      <rgbColor rgb="FF3366FF"/>
      <rgbColor rgb="FF1B998B"/>
      <rgbColor rgb="FF99CC00"/>
      <rgbColor rgb="FFFFCC00"/>
      <rgbColor rgb="FFFF9900"/>
      <rgbColor rgb="FFE67E22"/>
      <rgbColor rgb="FF666666"/>
      <rgbColor rgb="FF969696"/>
      <rgbColor rgb="FF003366"/>
      <rgbColor rgb="FF2E8B57"/>
      <rgbColor rgb="FF003300"/>
      <rgbColor rgb="FF333300"/>
      <rgbColor rgb="FFC0392B"/>
      <rgbColor rgb="FF993366"/>
      <rgbColor rgb="FF5B2C91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Inquiries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b998b"/>
            </a:solidFill>
            <a:ln w="0">
              <a:solidFill>
                <a:srgbClr val="1b998b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Dashboard!$A$10:$A$15</c:f>
              <c:strCache>
                <c:ptCount val="6"/>
                <c:pt idx="0">
                  <c:v>New</c:v>
                </c:pt>
                <c:pt idx="1">
                  <c:v>Contacted</c:v>
                </c:pt>
                <c:pt idx="2">
                  <c:v>Visit Booked</c:v>
                </c:pt>
                <c:pt idx="3">
                  <c:v>Visited</c:v>
                </c:pt>
                <c:pt idx="4">
                  <c:v>Enrolled</c:v>
                </c:pt>
                <c:pt idx="5">
                  <c:v>Lost</c:v>
                </c:pt>
              </c:strCache>
            </c:strRef>
          </c:cat>
          <c:val>
            <c:numRef>
              <c:f>Dashboard!$B$10:$B$15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gapWidth val="60"/>
        <c:overlap val="0"/>
        <c:axId val="76929684"/>
        <c:axId val="53360468"/>
      </c:barChart>
      <c:catAx>
        <c:axId val="769296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60468"/>
        <c:crosses val="autoZero"/>
        <c:auto val="1"/>
        <c:lblAlgn val="ctr"/>
        <c:lblOffset val="100"/>
        <c:noMultiLvlLbl val="0"/>
      </c:catAx>
      <c:valAx>
        <c:axId val="533604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296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Inquiries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Inquiries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e67e22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Dashboard!$A$20:$A$25</c:f>
              <c:strCache>
                <c:ptCount val="6"/>
                <c:pt idx="0">
                  <c:v>Walk in</c:v>
                </c:pt>
                <c:pt idx="1">
                  <c:v>Phone call</c:v>
                </c:pt>
                <c:pt idx="2">
                  <c:v>WhatsApp</c:v>
                </c:pt>
                <c:pt idx="3">
                  <c:v>Website form</c:v>
                </c:pt>
                <c:pt idx="4">
                  <c:v>Instagram</c:v>
                </c:pt>
                <c:pt idx="5">
                  <c:v>Referral</c:v>
                </c:pt>
              </c:strCache>
            </c:strRef>
          </c:cat>
          <c:val>
            <c:numRef>
              <c:f>Dashboard!$B$20:$B$25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gapWidth val="60"/>
        <c:overlap val="0"/>
        <c:axId val="87396235"/>
        <c:axId val="46990582"/>
      </c:barChart>
      <c:catAx>
        <c:axId val="87396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90582"/>
        <c:crosses val="autoZero"/>
        <c:auto val="1"/>
        <c:lblAlgn val="ctr"/>
        <c:lblOffset val="100"/>
        <c:noMultiLvlLbl val="0"/>
      </c:catAx>
      <c:valAx>
        <c:axId val="469905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962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0</xdr:rowOff>
    </xdr:from>
    <xdr:to>
      <xdr:col>11</xdr:col>
      <xdr:colOff>504720</xdr:colOff>
      <xdr:row>21</xdr:row>
      <xdr:rowOff>115200</xdr:rowOff>
    </xdr:to>
    <xdr:graphicFrame>
      <xdr:nvGraphicFramePr>
        <xdr:cNvPr id="0" name="Chart 1"/>
        <xdr:cNvGraphicFramePr/>
      </xdr:nvGraphicFramePr>
      <xdr:xfrm>
        <a:off x="4158720" y="213372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11</xdr:col>
      <xdr:colOff>504720</xdr:colOff>
      <xdr:row>36</xdr:row>
      <xdr:rowOff>115200</xdr:rowOff>
    </xdr:to>
    <xdr:graphicFrame>
      <xdr:nvGraphicFramePr>
        <xdr:cNvPr id="1" name="Chart 2"/>
        <xdr:cNvGraphicFramePr/>
      </xdr:nvGraphicFramePr>
      <xdr:xfrm>
        <a:off x="4158720" y="4991040"/>
        <a:ext cx="55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fals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0"/>
    <col collapsed="false" customWidth="true" hidden="false" outlineLevel="0" max="3" min="3" style="0" width="2"/>
  </cols>
  <sheetData>
    <row r="1" customFormat="false" ht="33.75" hidden="false" customHeight="true" outlineLevel="0" collapsed="false">
      <c r="A1" s="1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2"/>
      <c r="C2" s="2"/>
    </row>
    <row r="3" customFormat="false" ht="3.75" hidden="false" customHeight="true" outlineLevel="0" collapsed="false">
      <c r="A3" s="4"/>
      <c r="B3" s="4"/>
      <c r="C3" s="4"/>
    </row>
    <row r="5" customFormat="false" ht="15" hidden="false" customHeight="false" outlineLevel="0" collapsed="false">
      <c r="A5" s="5" t="s">
        <v>2</v>
      </c>
      <c r="B5" s="6"/>
    </row>
    <row r="6" customFormat="false" ht="31.5" hidden="false" customHeight="true" outlineLevel="0" collapsed="false">
      <c r="A6" s="7" t="n">
        <v>1</v>
      </c>
      <c r="B6" s="8" t="s">
        <v>3</v>
      </c>
    </row>
    <row r="7" customFormat="false" ht="31.5" hidden="false" customHeight="true" outlineLevel="0" collapsed="false">
      <c r="A7" s="7" t="n">
        <v>2</v>
      </c>
      <c r="B7" s="8" t="s">
        <v>4</v>
      </c>
    </row>
    <row r="8" customFormat="false" ht="31.5" hidden="false" customHeight="true" outlineLevel="0" collapsed="false">
      <c r="A8" s="7" t="n">
        <v>3</v>
      </c>
      <c r="B8" s="8" t="s">
        <v>5</v>
      </c>
    </row>
    <row r="9" customFormat="false" ht="31.5" hidden="false" customHeight="true" outlineLevel="0" collapsed="false">
      <c r="A9" s="7" t="n">
        <v>4</v>
      </c>
      <c r="B9" s="8" t="s">
        <v>6</v>
      </c>
    </row>
    <row r="10" customFormat="false" ht="31.5" hidden="false" customHeight="true" outlineLevel="0" collapsed="false">
      <c r="A10" s="7" t="n">
        <v>5</v>
      </c>
      <c r="B10" s="8" t="s">
        <v>7</v>
      </c>
    </row>
    <row r="11" customFormat="false" ht="31.5" hidden="false" customHeight="true" outlineLevel="0" collapsed="false">
      <c r="A11" s="7" t="n">
        <v>6</v>
      </c>
      <c r="B11" s="8" t="s">
        <v>8</v>
      </c>
    </row>
    <row r="13" customFormat="false" ht="15" hidden="false" customHeight="false" outlineLevel="0" collapsed="false">
      <c r="A13" s="5" t="s">
        <v>9</v>
      </c>
      <c r="B13" s="6"/>
    </row>
    <row r="14" customFormat="false" ht="21.75" hidden="false" customHeight="true" outlineLevel="0" collapsed="false">
      <c r="A14" s="9" t="s">
        <v>10</v>
      </c>
      <c r="B14" s="10" t="s">
        <v>11</v>
      </c>
    </row>
    <row r="15" customFormat="false" ht="21.75" hidden="false" customHeight="true" outlineLevel="0" collapsed="false">
      <c r="A15" s="9" t="s">
        <v>10</v>
      </c>
      <c r="B15" s="10" t="s">
        <v>12</v>
      </c>
    </row>
    <row r="16" customFormat="false" ht="21.75" hidden="false" customHeight="true" outlineLevel="0" collapsed="false">
      <c r="A16" s="9" t="s">
        <v>10</v>
      </c>
      <c r="B16" s="10" t="s">
        <v>13</v>
      </c>
    </row>
    <row r="17" customFormat="false" ht="21.75" hidden="false" customHeight="true" outlineLevel="0" collapsed="false">
      <c r="A17" s="9" t="s">
        <v>10</v>
      </c>
      <c r="B17" s="1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32"/>
  </cols>
  <sheetData>
    <row r="1" customFormat="false" ht="33.75" hidden="false" customHeight="true" outlineLevel="0" collapsed="false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33.75" hidden="false" customHeight="true" outlineLevel="0" collapsed="false">
      <c r="A4" s="11" t="s">
        <v>17</v>
      </c>
      <c r="B4" s="11" t="s">
        <v>18</v>
      </c>
      <c r="C4" s="11" t="s">
        <v>19</v>
      </c>
      <c r="D4" s="11" t="s">
        <v>20</v>
      </c>
      <c r="E4" s="11" t="s">
        <v>21</v>
      </c>
      <c r="F4" s="11" t="s">
        <v>22</v>
      </c>
      <c r="G4" s="11" t="s">
        <v>23</v>
      </c>
      <c r="H4" s="11" t="s">
        <v>24</v>
      </c>
      <c r="I4" s="11" t="s">
        <v>25</v>
      </c>
      <c r="J4" s="11" t="s">
        <v>26</v>
      </c>
      <c r="K4" s="11" t="s">
        <v>27</v>
      </c>
      <c r="L4" s="11" t="s">
        <v>28</v>
      </c>
    </row>
    <row r="5" customFormat="false" ht="15" hidden="false" customHeight="false" outlineLevel="0" collapsed="false">
      <c r="A5" s="12" t="n">
        <f aca="false">IF(B5="","",ROW()-4)</f>
        <v>1</v>
      </c>
      <c r="B5" s="13" t="n">
        <v>46267</v>
      </c>
      <c r="C5" s="14" t="s">
        <v>29</v>
      </c>
      <c r="D5" s="14" t="s">
        <v>30</v>
      </c>
      <c r="E5" s="14" t="s">
        <v>31</v>
      </c>
      <c r="F5" s="15" t="s">
        <v>32</v>
      </c>
      <c r="G5" s="15" t="s">
        <v>33</v>
      </c>
      <c r="H5" s="15" t="s">
        <v>34</v>
      </c>
      <c r="I5" s="13" t="n">
        <v>46274</v>
      </c>
      <c r="J5" s="12" t="n">
        <f aca="true">IF(B5="","",TODAY()-B5)</f>
        <v>34</v>
      </c>
      <c r="K5" s="16" t="str">
        <f aca="true">IF(H5="","",IF(OR(H5="Enrolled",H5="Lost"),"Closed",IF(I5="","Set follow up date",IF(I5&lt;=TODAY(),"Follow up now","On track"))))</f>
        <v>Closed</v>
      </c>
      <c r="L5" s="14" t="s">
        <v>35</v>
      </c>
    </row>
    <row r="6" customFormat="false" ht="15" hidden="false" customHeight="false" outlineLevel="0" collapsed="false">
      <c r="A6" s="12" t="n">
        <f aca="false">IF(B6="","",ROW()-4)</f>
        <v>2</v>
      </c>
      <c r="B6" s="13" t="n">
        <v>46269</v>
      </c>
      <c r="C6" s="14" t="s">
        <v>36</v>
      </c>
      <c r="D6" s="14" t="s">
        <v>37</v>
      </c>
      <c r="E6" s="14" t="s">
        <v>38</v>
      </c>
      <c r="F6" s="15" t="s">
        <v>39</v>
      </c>
      <c r="G6" s="15" t="s">
        <v>40</v>
      </c>
      <c r="H6" s="15" t="s">
        <v>41</v>
      </c>
      <c r="I6" s="13" t="n">
        <v>46302</v>
      </c>
      <c r="J6" s="12" t="n">
        <f aca="true">IF(B6="","",TODAY()-B6)</f>
        <v>32</v>
      </c>
      <c r="K6" s="16" t="str">
        <f aca="true">IF(H6="","",IF(OR(H6="Enrolled",H6="Lost"),"Closed",IF(I6="","Set follow up date",IF(I6&lt;=TODAY(),"Follow up now","On track"))))</f>
        <v>On track</v>
      </c>
      <c r="L6" s="14" t="s">
        <v>42</v>
      </c>
    </row>
    <row r="7" customFormat="false" ht="15" hidden="false" customHeight="false" outlineLevel="0" collapsed="false">
      <c r="A7" s="12" t="n">
        <f aca="false">IF(B7="","",ROW()-4)</f>
        <v>3</v>
      </c>
      <c r="B7" s="13" t="n">
        <v>46271</v>
      </c>
      <c r="C7" s="14" t="s">
        <v>43</v>
      </c>
      <c r="D7" s="14" t="s">
        <v>44</v>
      </c>
      <c r="E7" s="14" t="s">
        <v>45</v>
      </c>
      <c r="F7" s="15" t="s">
        <v>46</v>
      </c>
      <c r="G7" s="15" t="s">
        <v>47</v>
      </c>
      <c r="H7" s="15" t="s">
        <v>48</v>
      </c>
      <c r="I7" s="13" t="n">
        <v>46298</v>
      </c>
      <c r="J7" s="12" t="n">
        <f aca="true">IF(B7="","",TODAY()-B7)</f>
        <v>30</v>
      </c>
      <c r="K7" s="16" t="str">
        <f aca="true">IF(H7="","",IF(OR(H7="Enrolled",H7="Lost"),"Closed",IF(I7="","Set follow up date",IF(I7&lt;=TODAY(),"Follow up now","On track"))))</f>
        <v>Follow up now</v>
      </c>
      <c r="L7" s="14" t="s">
        <v>49</v>
      </c>
    </row>
    <row r="8" customFormat="false" ht="15" hidden="false" customHeight="false" outlineLevel="0" collapsed="false">
      <c r="A8" s="12" t="n">
        <f aca="false">IF(B8="","",ROW()-4)</f>
        <v>4</v>
      </c>
      <c r="B8" s="13" t="n">
        <v>46273</v>
      </c>
      <c r="C8" s="14" t="s">
        <v>50</v>
      </c>
      <c r="D8" s="14" t="s">
        <v>51</v>
      </c>
      <c r="E8" s="14" t="s">
        <v>52</v>
      </c>
      <c r="F8" s="15" t="s">
        <v>53</v>
      </c>
      <c r="G8" s="15" t="s">
        <v>54</v>
      </c>
      <c r="H8" s="15" t="s">
        <v>34</v>
      </c>
      <c r="I8" s="13" t="n">
        <v>46280</v>
      </c>
      <c r="J8" s="12" t="n">
        <f aca="true">IF(B8="","",TODAY()-B8)</f>
        <v>28</v>
      </c>
      <c r="K8" s="16" t="str">
        <f aca="true">IF(H8="","",IF(OR(H8="Enrolled",H8="Lost"),"Closed",IF(I8="","Set follow up date",IF(I8&lt;=TODAY(),"Follow up now","On track"))))</f>
        <v>Closed</v>
      </c>
      <c r="L8" s="14"/>
    </row>
    <row r="9" customFormat="false" ht="15" hidden="false" customHeight="false" outlineLevel="0" collapsed="false">
      <c r="A9" s="12" t="n">
        <f aca="false">IF(B9="","",ROW()-4)</f>
        <v>5</v>
      </c>
      <c r="B9" s="13" t="n">
        <v>46275</v>
      </c>
      <c r="C9" s="14" t="s">
        <v>55</v>
      </c>
      <c r="D9" s="14" t="s">
        <v>56</v>
      </c>
      <c r="E9" s="14" t="s">
        <v>57</v>
      </c>
      <c r="F9" s="15" t="s">
        <v>58</v>
      </c>
      <c r="G9" s="15" t="s">
        <v>59</v>
      </c>
      <c r="H9" s="15" t="s">
        <v>60</v>
      </c>
      <c r="I9" s="13"/>
      <c r="J9" s="12" t="n">
        <f aca="true">IF(B9="","",TODAY()-B9)</f>
        <v>26</v>
      </c>
      <c r="K9" s="16" t="str">
        <f aca="true">IF(H9="","",IF(OR(H9="Enrolled",H9="Lost"),"Closed",IF(I9="","Set follow up date",IF(I9&lt;=TODAY(),"Follow up now","On track"))))</f>
        <v>Closed</v>
      </c>
      <c r="L9" s="14" t="s">
        <v>61</v>
      </c>
    </row>
    <row r="10" customFormat="false" ht="15" hidden="false" customHeight="false" outlineLevel="0" collapsed="false">
      <c r="A10" s="12" t="n">
        <f aca="false">IF(B10="","",ROW()-4)</f>
        <v>6</v>
      </c>
      <c r="B10" s="13" t="n">
        <v>46277</v>
      </c>
      <c r="C10" s="14" t="s">
        <v>62</v>
      </c>
      <c r="D10" s="14" t="s">
        <v>63</v>
      </c>
      <c r="E10" s="14" t="s">
        <v>64</v>
      </c>
      <c r="F10" s="15" t="s">
        <v>65</v>
      </c>
      <c r="G10" s="15" t="s">
        <v>33</v>
      </c>
      <c r="H10" s="15" t="s">
        <v>66</v>
      </c>
      <c r="I10" s="13" t="n">
        <v>46303</v>
      </c>
      <c r="J10" s="12" t="n">
        <f aca="true">IF(B10="","",TODAY()-B10)</f>
        <v>24</v>
      </c>
      <c r="K10" s="16" t="str">
        <f aca="true">IF(H10="","",IF(OR(H10="Enrolled",H10="Lost"),"Closed",IF(I10="","Set follow up date",IF(I10&lt;=TODAY(),"Follow up now","On track"))))</f>
        <v>On track</v>
      </c>
      <c r="L10" s="14" t="s">
        <v>67</v>
      </c>
    </row>
    <row r="11" customFormat="false" ht="15" hidden="false" customHeight="false" outlineLevel="0" collapsed="false">
      <c r="A11" s="12" t="n">
        <f aca="false">IF(B11="","",ROW()-4)</f>
        <v>7</v>
      </c>
      <c r="B11" s="13" t="n">
        <v>46280</v>
      </c>
      <c r="C11" s="14" t="s">
        <v>68</v>
      </c>
      <c r="D11" s="14" t="s">
        <v>69</v>
      </c>
      <c r="E11" s="14" t="s">
        <v>70</v>
      </c>
      <c r="F11" s="15" t="s">
        <v>71</v>
      </c>
      <c r="G11" s="15" t="s">
        <v>40</v>
      </c>
      <c r="H11" s="15" t="s">
        <v>48</v>
      </c>
      <c r="I11" s="13" t="n">
        <v>46300</v>
      </c>
      <c r="J11" s="12" t="n">
        <f aca="true">IF(B11="","",TODAY()-B11)</f>
        <v>21</v>
      </c>
      <c r="K11" s="16" t="str">
        <f aca="true">IF(H11="","",IF(OR(H11="Enrolled",H11="Lost"),"Closed",IF(I11="","Set follow up date",IF(I11&lt;=TODAY(),"Follow up now","On track"))))</f>
        <v>Follow up now</v>
      </c>
      <c r="L11" s="14" t="s">
        <v>72</v>
      </c>
    </row>
    <row r="12" customFormat="false" ht="15" hidden="false" customHeight="false" outlineLevel="0" collapsed="false">
      <c r="A12" s="12" t="n">
        <f aca="false">IF(B12="","",ROW()-4)</f>
        <v>8</v>
      </c>
      <c r="B12" s="13" t="n">
        <v>46282</v>
      </c>
      <c r="C12" s="14" t="s">
        <v>73</v>
      </c>
      <c r="D12" s="14" t="s">
        <v>74</v>
      </c>
      <c r="E12" s="14" t="s">
        <v>75</v>
      </c>
      <c r="F12" s="15" t="s">
        <v>39</v>
      </c>
      <c r="G12" s="15" t="s">
        <v>76</v>
      </c>
      <c r="H12" s="15" t="s">
        <v>34</v>
      </c>
      <c r="I12" s="13" t="n">
        <v>46289</v>
      </c>
      <c r="J12" s="12" t="n">
        <f aca="true">IF(B12="","",TODAY()-B12)</f>
        <v>19</v>
      </c>
      <c r="K12" s="16" t="str">
        <f aca="true">IF(H12="","",IF(OR(H12="Enrolled",H12="Lost"),"Closed",IF(I12="","Set follow up date",IF(I12&lt;=TODAY(),"Follow up now","On track"))))</f>
        <v>Closed</v>
      </c>
      <c r="L12" s="14" t="s">
        <v>77</v>
      </c>
    </row>
    <row r="13" customFormat="false" ht="15" hidden="false" customHeight="false" outlineLevel="0" collapsed="false">
      <c r="A13" s="12" t="n">
        <f aca="false">IF(B13="","",ROW()-4)</f>
        <v>9</v>
      </c>
      <c r="B13" s="13" t="n">
        <v>46284</v>
      </c>
      <c r="C13" s="14" t="s">
        <v>78</v>
      </c>
      <c r="D13" s="14" t="s">
        <v>79</v>
      </c>
      <c r="E13" s="14" t="s">
        <v>80</v>
      </c>
      <c r="F13" s="15" t="s">
        <v>81</v>
      </c>
      <c r="G13" s="15" t="s">
        <v>47</v>
      </c>
      <c r="H13" s="15" t="s">
        <v>82</v>
      </c>
      <c r="I13" s="13" t="n">
        <v>46301</v>
      </c>
      <c r="J13" s="12" t="n">
        <f aca="true">IF(B13="","",TODAY()-B13)</f>
        <v>17</v>
      </c>
      <c r="K13" s="16" t="str">
        <f aca="true">IF(H13="","",IF(OR(H13="Enrolled",H13="Lost"),"Closed",IF(I13="","Set follow up date",IF(I13&lt;=TODAY(),"Follow up now","On track"))))</f>
        <v>Follow up now</v>
      </c>
      <c r="L13" s="14"/>
    </row>
    <row r="14" customFormat="false" ht="15" hidden="false" customHeight="false" outlineLevel="0" collapsed="false">
      <c r="A14" s="12" t="n">
        <f aca="false">IF(B14="","",ROW()-4)</f>
        <v>10</v>
      </c>
      <c r="B14" s="13" t="n">
        <v>46287</v>
      </c>
      <c r="C14" s="14" t="s">
        <v>83</v>
      </c>
      <c r="D14" s="14" t="s">
        <v>84</v>
      </c>
      <c r="E14" s="14" t="s">
        <v>85</v>
      </c>
      <c r="F14" s="15" t="s">
        <v>86</v>
      </c>
      <c r="G14" s="15" t="s">
        <v>59</v>
      </c>
      <c r="H14" s="15" t="s">
        <v>41</v>
      </c>
      <c r="I14" s="13" t="n">
        <v>46299</v>
      </c>
      <c r="J14" s="12" t="n">
        <f aca="true">IF(B14="","",TODAY()-B14)</f>
        <v>14</v>
      </c>
      <c r="K14" s="16" t="str">
        <f aca="true">IF(H14="","",IF(OR(H14="Enrolled",H14="Lost"),"Closed",IF(I14="","Set follow up date",IF(I14&lt;=TODAY(),"Follow up now","On track"))))</f>
        <v>Follow up now</v>
      </c>
      <c r="L14" s="14" t="s">
        <v>87</v>
      </c>
    </row>
    <row r="15" customFormat="false" ht="15" hidden="false" customHeight="false" outlineLevel="0" collapsed="false">
      <c r="A15" s="12" t="n">
        <f aca="false">IF(B15="","",ROW()-4)</f>
        <v>11</v>
      </c>
      <c r="B15" s="13" t="n">
        <v>46289</v>
      </c>
      <c r="C15" s="14" t="s">
        <v>88</v>
      </c>
      <c r="D15" s="14" t="s">
        <v>89</v>
      </c>
      <c r="E15" s="14" t="s">
        <v>90</v>
      </c>
      <c r="F15" s="15" t="s">
        <v>53</v>
      </c>
      <c r="G15" s="15" t="s">
        <v>33</v>
      </c>
      <c r="H15" s="15" t="s">
        <v>48</v>
      </c>
      <c r="I15" s="13" t="n">
        <v>46304</v>
      </c>
      <c r="J15" s="12" t="n">
        <f aca="true">IF(B15="","",TODAY()-B15)</f>
        <v>12</v>
      </c>
      <c r="K15" s="16" t="str">
        <f aca="true">IF(H15="","",IF(OR(H15="Enrolled",H15="Lost"),"Closed",IF(I15="","Set follow up date",IF(I15&lt;=TODAY(),"Follow up now","On track"))))</f>
        <v>On track</v>
      </c>
      <c r="L15" s="14"/>
    </row>
    <row r="16" customFormat="false" ht="15" hidden="false" customHeight="false" outlineLevel="0" collapsed="false">
      <c r="A16" s="12" t="n">
        <f aca="false">IF(B16="","",ROW()-4)</f>
        <v>12</v>
      </c>
      <c r="B16" s="13" t="n">
        <v>46292</v>
      </c>
      <c r="C16" s="14" t="s">
        <v>91</v>
      </c>
      <c r="D16" s="14" t="s">
        <v>92</v>
      </c>
      <c r="E16" s="14" t="s">
        <v>93</v>
      </c>
      <c r="F16" s="15" t="s">
        <v>46</v>
      </c>
      <c r="G16" s="15" t="s">
        <v>54</v>
      </c>
      <c r="H16" s="15" t="s">
        <v>60</v>
      </c>
      <c r="I16" s="13"/>
      <c r="J16" s="12" t="n">
        <f aca="true">IF(B16="","",TODAY()-B16)</f>
        <v>9</v>
      </c>
      <c r="K16" s="16" t="str">
        <f aca="true">IF(H16="","",IF(OR(H16="Enrolled",H16="Lost"),"Closed",IF(I16="","Set follow up date",IF(I16&lt;=TODAY(),"Follow up now","On track"))))</f>
        <v>Closed</v>
      </c>
      <c r="L16" s="14" t="s">
        <v>94</v>
      </c>
    </row>
    <row r="17" customFormat="false" ht="15" hidden="false" customHeight="false" outlineLevel="0" collapsed="false">
      <c r="A17" s="12" t="n">
        <f aca="false">IF(B17="","",ROW()-4)</f>
        <v>13</v>
      </c>
      <c r="B17" s="13" t="n">
        <v>46295</v>
      </c>
      <c r="C17" s="14" t="s">
        <v>95</v>
      </c>
      <c r="D17" s="14" t="s">
        <v>96</v>
      </c>
      <c r="E17" s="14" t="s">
        <v>97</v>
      </c>
      <c r="F17" s="15" t="s">
        <v>98</v>
      </c>
      <c r="G17" s="15" t="s">
        <v>40</v>
      </c>
      <c r="H17" s="15" t="s">
        <v>66</v>
      </c>
      <c r="I17" s="13" t="n">
        <v>46305</v>
      </c>
      <c r="J17" s="12" t="n">
        <f aca="true">IF(B17="","",TODAY()-B17)</f>
        <v>6</v>
      </c>
      <c r="K17" s="16" t="str">
        <f aca="true">IF(H17="","",IF(OR(H17="Enrolled",H17="Lost"),"Closed",IF(I17="","Set follow up date",IF(I17&lt;=TODAY(),"Follow up now","On track"))))</f>
        <v>On track</v>
      </c>
      <c r="L17" s="14"/>
    </row>
    <row r="18" customFormat="false" ht="15" hidden="false" customHeight="false" outlineLevel="0" collapsed="false">
      <c r="A18" s="12" t="n">
        <f aca="false">IF(B18="","",ROW()-4)</f>
        <v>14</v>
      </c>
      <c r="B18" s="13" t="n">
        <v>46297</v>
      </c>
      <c r="C18" s="14" t="s">
        <v>99</v>
      </c>
      <c r="D18" s="14" t="s">
        <v>100</v>
      </c>
      <c r="E18" s="14" t="s">
        <v>101</v>
      </c>
      <c r="F18" s="15" t="s">
        <v>39</v>
      </c>
      <c r="G18" s="15" t="s">
        <v>47</v>
      </c>
      <c r="H18" s="15" t="s">
        <v>82</v>
      </c>
      <c r="I18" s="13" t="n">
        <v>46301</v>
      </c>
      <c r="J18" s="12" t="n">
        <f aca="true">IF(B18="","",TODAY()-B18)</f>
        <v>4</v>
      </c>
      <c r="K18" s="16" t="str">
        <f aca="true">IF(H18="","",IF(OR(H18="Enrolled",H18="Lost"),"Closed",IF(I18="","Set follow up date",IF(I18&lt;=TODAY(),"Follow up now","On track"))))</f>
        <v>Follow up now</v>
      </c>
      <c r="L18" s="14" t="s">
        <v>102</v>
      </c>
    </row>
    <row r="19" customFormat="false" ht="15" hidden="false" customHeight="false" outlineLevel="0" collapsed="false">
      <c r="A19" s="12" t="n">
        <f aca="false">IF(B19="","",ROW()-4)</f>
        <v>15</v>
      </c>
      <c r="B19" s="13" t="n">
        <v>46299</v>
      </c>
      <c r="C19" s="14" t="s">
        <v>103</v>
      </c>
      <c r="D19" s="14" t="s">
        <v>104</v>
      </c>
      <c r="E19" s="14" t="s">
        <v>105</v>
      </c>
      <c r="F19" s="15" t="s">
        <v>32</v>
      </c>
      <c r="G19" s="15" t="s">
        <v>59</v>
      </c>
      <c r="H19" s="15" t="s">
        <v>82</v>
      </c>
      <c r="I19" s="13"/>
      <c r="J19" s="12" t="n">
        <f aca="true">IF(B19="","",TODAY()-B19)</f>
        <v>2</v>
      </c>
      <c r="K19" s="16" t="str">
        <f aca="true">IF(H19="","",IF(OR(H19="Enrolled",H19="Lost"),"Closed",IF(I19="","Set follow up date",IF(I19&lt;=TODAY(),"Follow up now","On track"))))</f>
        <v>Set follow up date</v>
      </c>
      <c r="L19" s="14"/>
    </row>
    <row r="20" customFormat="false" ht="15" hidden="false" customHeight="false" outlineLevel="0" collapsed="false">
      <c r="A20" s="12" t="str">
        <f aca="false">IF(B20="","",ROW()-4)</f>
        <v/>
      </c>
      <c r="B20" s="13"/>
      <c r="C20" s="14"/>
      <c r="D20" s="14"/>
      <c r="E20" s="14"/>
      <c r="F20" s="15"/>
      <c r="G20" s="15"/>
      <c r="H20" s="15"/>
      <c r="I20" s="13"/>
      <c r="J20" s="12" t="str">
        <f aca="true">IF(B20="","",TODAY()-B20)</f>
        <v/>
      </c>
      <c r="K20" s="16" t="str">
        <f aca="true">IF(H20="","",IF(OR(H20="Enrolled",H20="Lost"),"Closed",IF(I20="","Set follow up date",IF(I20&lt;=TODAY(),"Follow up now","On track"))))</f>
        <v/>
      </c>
      <c r="L20" s="14"/>
    </row>
    <row r="21" customFormat="false" ht="15" hidden="false" customHeight="false" outlineLevel="0" collapsed="false">
      <c r="A21" s="12" t="str">
        <f aca="false">IF(B21="","",ROW()-4)</f>
        <v/>
      </c>
      <c r="B21" s="13"/>
      <c r="C21" s="14"/>
      <c r="D21" s="14"/>
      <c r="E21" s="14"/>
      <c r="F21" s="15"/>
      <c r="G21" s="15"/>
      <c r="H21" s="15"/>
      <c r="I21" s="13"/>
      <c r="J21" s="12" t="str">
        <f aca="true">IF(B21="","",TODAY()-B21)</f>
        <v/>
      </c>
      <c r="K21" s="16" t="str">
        <f aca="true">IF(H21="","",IF(OR(H21="Enrolled",H21="Lost"),"Closed",IF(I21="","Set follow up date",IF(I21&lt;=TODAY(),"Follow up now","On track"))))</f>
        <v/>
      </c>
      <c r="L21" s="14"/>
    </row>
    <row r="22" customFormat="false" ht="15" hidden="false" customHeight="false" outlineLevel="0" collapsed="false">
      <c r="A22" s="12" t="str">
        <f aca="false">IF(B22="","",ROW()-4)</f>
        <v/>
      </c>
      <c r="B22" s="13"/>
      <c r="C22" s="14"/>
      <c r="D22" s="14"/>
      <c r="E22" s="14"/>
      <c r="F22" s="15"/>
      <c r="G22" s="15"/>
      <c r="H22" s="15"/>
      <c r="I22" s="13"/>
      <c r="J22" s="12" t="str">
        <f aca="true">IF(B22="","",TODAY()-B22)</f>
        <v/>
      </c>
      <c r="K22" s="16" t="str">
        <f aca="true">IF(H22="","",IF(OR(H22="Enrolled",H22="Lost"),"Closed",IF(I22="","Set follow up date",IF(I22&lt;=TODAY(),"Follow up now","On track"))))</f>
        <v/>
      </c>
      <c r="L22" s="14"/>
    </row>
    <row r="23" customFormat="false" ht="15" hidden="false" customHeight="false" outlineLevel="0" collapsed="false">
      <c r="A23" s="12" t="str">
        <f aca="false">IF(B23="","",ROW()-4)</f>
        <v/>
      </c>
      <c r="B23" s="13"/>
      <c r="C23" s="14"/>
      <c r="D23" s="14"/>
      <c r="E23" s="14"/>
      <c r="F23" s="15"/>
      <c r="G23" s="15"/>
      <c r="H23" s="15"/>
      <c r="I23" s="13"/>
      <c r="J23" s="12" t="str">
        <f aca="true">IF(B23="","",TODAY()-B23)</f>
        <v/>
      </c>
      <c r="K23" s="16" t="str">
        <f aca="true">IF(H23="","",IF(OR(H23="Enrolled",H23="Lost"),"Closed",IF(I23="","Set follow up date",IF(I23&lt;=TODAY(),"Follow up now","On track"))))</f>
        <v/>
      </c>
      <c r="L23" s="14"/>
    </row>
    <row r="24" customFormat="false" ht="15" hidden="false" customHeight="false" outlineLevel="0" collapsed="false">
      <c r="A24" s="12" t="str">
        <f aca="false">IF(B24="","",ROW()-4)</f>
        <v/>
      </c>
      <c r="B24" s="13"/>
      <c r="C24" s="14"/>
      <c r="D24" s="14"/>
      <c r="E24" s="14"/>
      <c r="F24" s="15"/>
      <c r="G24" s="15"/>
      <c r="H24" s="15"/>
      <c r="I24" s="13"/>
      <c r="J24" s="12" t="str">
        <f aca="true">IF(B24="","",TODAY()-B24)</f>
        <v/>
      </c>
      <c r="K24" s="16" t="str">
        <f aca="true">IF(H24="","",IF(OR(H24="Enrolled",H24="Lost"),"Closed",IF(I24="","Set follow up date",IF(I24&lt;=TODAY(),"Follow up now","On track"))))</f>
        <v/>
      </c>
      <c r="L24" s="14"/>
    </row>
    <row r="25" customFormat="false" ht="15" hidden="false" customHeight="false" outlineLevel="0" collapsed="false">
      <c r="A25" s="12" t="str">
        <f aca="false">IF(B25="","",ROW()-4)</f>
        <v/>
      </c>
      <c r="B25" s="13"/>
      <c r="C25" s="14"/>
      <c r="D25" s="14"/>
      <c r="E25" s="14"/>
      <c r="F25" s="15"/>
      <c r="G25" s="15"/>
      <c r="H25" s="15"/>
      <c r="I25" s="13"/>
      <c r="J25" s="12" t="str">
        <f aca="true">IF(B25="","",TODAY()-B25)</f>
        <v/>
      </c>
      <c r="K25" s="16" t="str">
        <f aca="true">IF(H25="","",IF(OR(H25="Enrolled",H25="Lost"),"Closed",IF(I25="","Set follow up date",IF(I25&lt;=TODAY(),"Follow up now","On track"))))</f>
        <v/>
      </c>
      <c r="L25" s="14"/>
    </row>
    <row r="26" customFormat="false" ht="15" hidden="false" customHeight="false" outlineLevel="0" collapsed="false">
      <c r="A26" s="12" t="str">
        <f aca="false">IF(B26="","",ROW()-4)</f>
        <v/>
      </c>
      <c r="B26" s="13"/>
      <c r="C26" s="14"/>
      <c r="D26" s="14"/>
      <c r="E26" s="14"/>
      <c r="F26" s="15"/>
      <c r="G26" s="15"/>
      <c r="H26" s="15"/>
      <c r="I26" s="13"/>
      <c r="J26" s="12" t="str">
        <f aca="true">IF(B26="","",TODAY()-B26)</f>
        <v/>
      </c>
      <c r="K26" s="16" t="str">
        <f aca="true">IF(H26="","",IF(OR(H26="Enrolled",H26="Lost"),"Closed",IF(I26="","Set follow up date",IF(I26&lt;=TODAY(),"Follow up now","On track"))))</f>
        <v/>
      </c>
      <c r="L26" s="14"/>
    </row>
    <row r="27" customFormat="false" ht="15" hidden="false" customHeight="false" outlineLevel="0" collapsed="false">
      <c r="A27" s="12" t="str">
        <f aca="false">IF(B27="","",ROW()-4)</f>
        <v/>
      </c>
      <c r="B27" s="13"/>
      <c r="C27" s="14"/>
      <c r="D27" s="14"/>
      <c r="E27" s="14"/>
      <c r="F27" s="15"/>
      <c r="G27" s="15"/>
      <c r="H27" s="15"/>
      <c r="I27" s="13"/>
      <c r="J27" s="12" t="str">
        <f aca="true">IF(B27="","",TODAY()-B27)</f>
        <v/>
      </c>
      <c r="K27" s="16" t="str">
        <f aca="true">IF(H27="","",IF(OR(H27="Enrolled",H27="Lost"),"Closed",IF(I27="","Set follow up date",IF(I27&lt;=TODAY(),"Follow up now","On track"))))</f>
        <v/>
      </c>
      <c r="L27" s="14"/>
    </row>
    <row r="28" customFormat="false" ht="15" hidden="false" customHeight="false" outlineLevel="0" collapsed="false">
      <c r="A28" s="12" t="str">
        <f aca="false">IF(B28="","",ROW()-4)</f>
        <v/>
      </c>
      <c r="B28" s="13"/>
      <c r="C28" s="14"/>
      <c r="D28" s="14"/>
      <c r="E28" s="14"/>
      <c r="F28" s="15"/>
      <c r="G28" s="15"/>
      <c r="H28" s="15"/>
      <c r="I28" s="13"/>
      <c r="J28" s="12" t="str">
        <f aca="true">IF(B28="","",TODAY()-B28)</f>
        <v/>
      </c>
      <c r="K28" s="16" t="str">
        <f aca="true">IF(H28="","",IF(OR(H28="Enrolled",H28="Lost"),"Closed",IF(I28="","Set follow up date",IF(I28&lt;=TODAY(),"Follow up now","On track"))))</f>
        <v/>
      </c>
      <c r="L28" s="14"/>
    </row>
    <row r="29" customFormat="false" ht="15" hidden="false" customHeight="false" outlineLevel="0" collapsed="false">
      <c r="A29" s="12" t="str">
        <f aca="false">IF(B29="","",ROW()-4)</f>
        <v/>
      </c>
      <c r="B29" s="13"/>
      <c r="C29" s="14"/>
      <c r="D29" s="14"/>
      <c r="E29" s="14"/>
      <c r="F29" s="15"/>
      <c r="G29" s="15"/>
      <c r="H29" s="15"/>
      <c r="I29" s="13"/>
      <c r="J29" s="12" t="str">
        <f aca="true">IF(B29="","",TODAY()-B29)</f>
        <v/>
      </c>
      <c r="K29" s="16" t="str">
        <f aca="true">IF(H29="","",IF(OR(H29="Enrolled",H29="Lost"),"Closed",IF(I29="","Set follow up date",IF(I29&lt;=TODAY(),"Follow up now","On track"))))</f>
        <v/>
      </c>
      <c r="L29" s="14"/>
    </row>
    <row r="30" customFormat="false" ht="15" hidden="false" customHeight="false" outlineLevel="0" collapsed="false">
      <c r="A30" s="12" t="str">
        <f aca="false">IF(B30="","",ROW()-4)</f>
        <v/>
      </c>
      <c r="B30" s="13"/>
      <c r="C30" s="14"/>
      <c r="D30" s="14"/>
      <c r="E30" s="14"/>
      <c r="F30" s="15"/>
      <c r="G30" s="15"/>
      <c r="H30" s="15"/>
      <c r="I30" s="13"/>
      <c r="J30" s="12" t="str">
        <f aca="true">IF(B30="","",TODAY()-B30)</f>
        <v/>
      </c>
      <c r="K30" s="16" t="str">
        <f aca="true">IF(H30="","",IF(OR(H30="Enrolled",H30="Lost"),"Closed",IF(I30="","Set follow up date",IF(I30&lt;=TODAY(),"Follow up now","On track"))))</f>
        <v/>
      </c>
      <c r="L30" s="14"/>
    </row>
    <row r="31" customFormat="false" ht="15" hidden="false" customHeight="false" outlineLevel="0" collapsed="false">
      <c r="A31" s="12" t="str">
        <f aca="false">IF(B31="","",ROW()-4)</f>
        <v/>
      </c>
      <c r="B31" s="13"/>
      <c r="C31" s="14"/>
      <c r="D31" s="14"/>
      <c r="E31" s="14"/>
      <c r="F31" s="15"/>
      <c r="G31" s="15"/>
      <c r="H31" s="15"/>
      <c r="I31" s="13"/>
      <c r="J31" s="12" t="str">
        <f aca="true">IF(B31="","",TODAY()-B31)</f>
        <v/>
      </c>
      <c r="K31" s="16" t="str">
        <f aca="true">IF(H31="","",IF(OR(H31="Enrolled",H31="Lost"),"Closed",IF(I31="","Set follow up date",IF(I31&lt;=TODAY(),"Follow up now","On track"))))</f>
        <v/>
      </c>
      <c r="L31" s="14"/>
    </row>
    <row r="32" customFormat="false" ht="15" hidden="false" customHeight="false" outlineLevel="0" collapsed="false">
      <c r="A32" s="12" t="str">
        <f aca="false">IF(B32="","",ROW()-4)</f>
        <v/>
      </c>
      <c r="B32" s="13"/>
      <c r="C32" s="14"/>
      <c r="D32" s="14"/>
      <c r="E32" s="14"/>
      <c r="F32" s="15"/>
      <c r="G32" s="15"/>
      <c r="H32" s="15"/>
      <c r="I32" s="13"/>
      <c r="J32" s="12" t="str">
        <f aca="true">IF(B32="","",TODAY()-B32)</f>
        <v/>
      </c>
      <c r="K32" s="16" t="str">
        <f aca="true">IF(H32="","",IF(OR(H32="Enrolled",H32="Lost"),"Closed",IF(I32="","Set follow up date",IF(I32&lt;=TODAY(),"Follow up now","On track"))))</f>
        <v/>
      </c>
      <c r="L32" s="14"/>
    </row>
    <row r="33" customFormat="false" ht="15" hidden="false" customHeight="false" outlineLevel="0" collapsed="false">
      <c r="A33" s="12" t="str">
        <f aca="false">IF(B33="","",ROW()-4)</f>
        <v/>
      </c>
      <c r="B33" s="13"/>
      <c r="C33" s="14"/>
      <c r="D33" s="14"/>
      <c r="E33" s="14"/>
      <c r="F33" s="15"/>
      <c r="G33" s="15"/>
      <c r="H33" s="15"/>
      <c r="I33" s="13"/>
      <c r="J33" s="12" t="str">
        <f aca="true">IF(B33="","",TODAY()-B33)</f>
        <v/>
      </c>
      <c r="K33" s="16" t="str">
        <f aca="true">IF(H33="","",IF(OR(H33="Enrolled",H33="Lost"),"Closed",IF(I33="","Set follow up date",IF(I33&lt;=TODAY(),"Follow up now","On track"))))</f>
        <v/>
      </c>
      <c r="L33" s="14"/>
    </row>
    <row r="34" customFormat="false" ht="15" hidden="false" customHeight="false" outlineLevel="0" collapsed="false">
      <c r="A34" s="12" t="str">
        <f aca="false">IF(B34="","",ROW()-4)</f>
        <v/>
      </c>
      <c r="B34" s="13"/>
      <c r="C34" s="14"/>
      <c r="D34" s="14"/>
      <c r="E34" s="14"/>
      <c r="F34" s="15"/>
      <c r="G34" s="15"/>
      <c r="H34" s="15"/>
      <c r="I34" s="13"/>
      <c r="J34" s="12" t="str">
        <f aca="true">IF(B34="","",TODAY()-B34)</f>
        <v/>
      </c>
      <c r="K34" s="16" t="str">
        <f aca="true">IF(H34="","",IF(OR(H34="Enrolled",H34="Lost"),"Closed",IF(I34="","Set follow up date",IF(I34&lt;=TODAY(),"Follow up now","On track"))))</f>
        <v/>
      </c>
      <c r="L34" s="14"/>
    </row>
    <row r="35" customFormat="false" ht="15" hidden="false" customHeight="false" outlineLevel="0" collapsed="false">
      <c r="A35" s="12" t="str">
        <f aca="false">IF(B35="","",ROW()-4)</f>
        <v/>
      </c>
      <c r="B35" s="13"/>
      <c r="C35" s="14"/>
      <c r="D35" s="14"/>
      <c r="E35" s="14"/>
      <c r="F35" s="15"/>
      <c r="G35" s="15"/>
      <c r="H35" s="15"/>
      <c r="I35" s="13"/>
      <c r="J35" s="12" t="str">
        <f aca="true">IF(B35="","",TODAY()-B35)</f>
        <v/>
      </c>
      <c r="K35" s="16" t="str">
        <f aca="true">IF(H35="","",IF(OR(H35="Enrolled",H35="Lost"),"Closed",IF(I35="","Set follow up date",IF(I35&lt;=TODAY(),"Follow up now","On track"))))</f>
        <v/>
      </c>
      <c r="L35" s="14"/>
    </row>
    <row r="36" customFormat="false" ht="15" hidden="false" customHeight="false" outlineLevel="0" collapsed="false">
      <c r="A36" s="12" t="str">
        <f aca="false">IF(B36="","",ROW()-4)</f>
        <v/>
      </c>
      <c r="B36" s="13"/>
      <c r="C36" s="14"/>
      <c r="D36" s="14"/>
      <c r="E36" s="14"/>
      <c r="F36" s="15"/>
      <c r="G36" s="15"/>
      <c r="H36" s="15"/>
      <c r="I36" s="13"/>
      <c r="J36" s="12" t="str">
        <f aca="true">IF(B36="","",TODAY()-B36)</f>
        <v/>
      </c>
      <c r="K36" s="16" t="str">
        <f aca="true">IF(H36="","",IF(OR(H36="Enrolled",H36="Lost"),"Closed",IF(I36="","Set follow up date",IF(I36&lt;=TODAY(),"Follow up now","On track"))))</f>
        <v/>
      </c>
      <c r="L36" s="14"/>
    </row>
    <row r="37" customFormat="false" ht="15" hidden="false" customHeight="false" outlineLevel="0" collapsed="false">
      <c r="A37" s="12" t="str">
        <f aca="false">IF(B37="","",ROW()-4)</f>
        <v/>
      </c>
      <c r="B37" s="13"/>
      <c r="C37" s="14"/>
      <c r="D37" s="14"/>
      <c r="E37" s="14"/>
      <c r="F37" s="15"/>
      <c r="G37" s="15"/>
      <c r="H37" s="15"/>
      <c r="I37" s="13"/>
      <c r="J37" s="12" t="str">
        <f aca="true">IF(B37="","",TODAY()-B37)</f>
        <v/>
      </c>
      <c r="K37" s="16" t="str">
        <f aca="true">IF(H37="","",IF(OR(H37="Enrolled",H37="Lost"),"Closed",IF(I37="","Set follow up date",IF(I37&lt;=TODAY(),"Follow up now","On track"))))</f>
        <v/>
      </c>
      <c r="L37" s="14"/>
    </row>
    <row r="38" customFormat="false" ht="15" hidden="false" customHeight="false" outlineLevel="0" collapsed="false">
      <c r="A38" s="12" t="str">
        <f aca="false">IF(B38="","",ROW()-4)</f>
        <v/>
      </c>
      <c r="B38" s="13"/>
      <c r="C38" s="14"/>
      <c r="D38" s="14"/>
      <c r="E38" s="14"/>
      <c r="F38" s="15"/>
      <c r="G38" s="15"/>
      <c r="H38" s="15"/>
      <c r="I38" s="13"/>
      <c r="J38" s="12" t="str">
        <f aca="true">IF(B38="","",TODAY()-B38)</f>
        <v/>
      </c>
      <c r="K38" s="16" t="str">
        <f aca="true">IF(H38="","",IF(OR(H38="Enrolled",H38="Lost"),"Closed",IF(I38="","Set follow up date",IF(I38&lt;=TODAY(),"Follow up now","On track"))))</f>
        <v/>
      </c>
      <c r="L38" s="14"/>
    </row>
    <row r="39" customFormat="false" ht="15" hidden="false" customHeight="false" outlineLevel="0" collapsed="false">
      <c r="A39" s="12" t="str">
        <f aca="false">IF(B39="","",ROW()-4)</f>
        <v/>
      </c>
      <c r="B39" s="13"/>
      <c r="C39" s="14"/>
      <c r="D39" s="14"/>
      <c r="E39" s="14"/>
      <c r="F39" s="15"/>
      <c r="G39" s="15"/>
      <c r="H39" s="15"/>
      <c r="I39" s="13"/>
      <c r="J39" s="12" t="str">
        <f aca="true">IF(B39="","",TODAY()-B39)</f>
        <v/>
      </c>
      <c r="K39" s="16" t="str">
        <f aca="true">IF(H39="","",IF(OR(H39="Enrolled",H39="Lost"),"Closed",IF(I39="","Set follow up date",IF(I39&lt;=TODAY(),"Follow up now","On track"))))</f>
        <v/>
      </c>
      <c r="L39" s="14"/>
    </row>
    <row r="40" customFormat="false" ht="15" hidden="false" customHeight="false" outlineLevel="0" collapsed="false">
      <c r="A40" s="12" t="str">
        <f aca="false">IF(B40="","",ROW()-4)</f>
        <v/>
      </c>
      <c r="B40" s="13"/>
      <c r="C40" s="14"/>
      <c r="D40" s="14"/>
      <c r="E40" s="14"/>
      <c r="F40" s="15"/>
      <c r="G40" s="15"/>
      <c r="H40" s="15"/>
      <c r="I40" s="13"/>
      <c r="J40" s="12" t="str">
        <f aca="true">IF(B40="","",TODAY()-B40)</f>
        <v/>
      </c>
      <c r="K40" s="16" t="str">
        <f aca="true">IF(H40="","",IF(OR(H40="Enrolled",H40="Lost"),"Closed",IF(I40="","Set follow up date",IF(I40&lt;=TODAY(),"Follow up now","On track"))))</f>
        <v/>
      </c>
      <c r="L40" s="14"/>
    </row>
    <row r="41" customFormat="false" ht="15" hidden="false" customHeight="false" outlineLevel="0" collapsed="false">
      <c r="A41" s="12" t="str">
        <f aca="false">IF(B41="","",ROW()-4)</f>
        <v/>
      </c>
      <c r="B41" s="13"/>
      <c r="C41" s="14"/>
      <c r="D41" s="14"/>
      <c r="E41" s="14"/>
      <c r="F41" s="15"/>
      <c r="G41" s="15"/>
      <c r="H41" s="15"/>
      <c r="I41" s="13"/>
      <c r="J41" s="12" t="str">
        <f aca="true">IF(B41="","",TODAY()-B41)</f>
        <v/>
      </c>
      <c r="K41" s="16" t="str">
        <f aca="true">IF(H41="","",IF(OR(H41="Enrolled",H41="Lost"),"Closed",IF(I41="","Set follow up date",IF(I41&lt;=TODAY(),"Follow up now","On track"))))</f>
        <v/>
      </c>
      <c r="L41" s="14"/>
    </row>
    <row r="42" customFormat="false" ht="15" hidden="false" customHeight="false" outlineLevel="0" collapsed="false">
      <c r="A42" s="12" t="str">
        <f aca="false">IF(B42="","",ROW()-4)</f>
        <v/>
      </c>
      <c r="B42" s="13"/>
      <c r="C42" s="14"/>
      <c r="D42" s="14"/>
      <c r="E42" s="14"/>
      <c r="F42" s="15"/>
      <c r="G42" s="15"/>
      <c r="H42" s="15"/>
      <c r="I42" s="13"/>
      <c r="J42" s="12" t="str">
        <f aca="true">IF(B42="","",TODAY()-B42)</f>
        <v/>
      </c>
      <c r="K42" s="16" t="str">
        <f aca="true">IF(H42="","",IF(OR(H42="Enrolled",H42="Lost"),"Closed",IF(I42="","Set follow up date",IF(I42&lt;=TODAY(),"Follow up now","On track"))))</f>
        <v/>
      </c>
      <c r="L42" s="14"/>
    </row>
    <row r="43" customFormat="false" ht="15" hidden="false" customHeight="false" outlineLevel="0" collapsed="false">
      <c r="A43" s="12" t="str">
        <f aca="false">IF(B43="","",ROW()-4)</f>
        <v/>
      </c>
      <c r="B43" s="13"/>
      <c r="C43" s="14"/>
      <c r="D43" s="14"/>
      <c r="E43" s="14"/>
      <c r="F43" s="15"/>
      <c r="G43" s="15"/>
      <c r="H43" s="15"/>
      <c r="I43" s="13"/>
      <c r="J43" s="12" t="str">
        <f aca="true">IF(B43="","",TODAY()-B43)</f>
        <v/>
      </c>
      <c r="K43" s="16" t="str">
        <f aca="true">IF(H43="","",IF(OR(H43="Enrolled",H43="Lost"),"Closed",IF(I43="","Set follow up date",IF(I43&lt;=TODAY(),"Follow up now","On track"))))</f>
        <v/>
      </c>
      <c r="L43" s="14"/>
    </row>
    <row r="44" customFormat="false" ht="15" hidden="false" customHeight="false" outlineLevel="0" collapsed="false">
      <c r="A44" s="12" t="str">
        <f aca="false">IF(B44="","",ROW()-4)</f>
        <v/>
      </c>
      <c r="B44" s="13"/>
      <c r="C44" s="14"/>
      <c r="D44" s="14"/>
      <c r="E44" s="14"/>
      <c r="F44" s="15"/>
      <c r="G44" s="15"/>
      <c r="H44" s="15"/>
      <c r="I44" s="13"/>
      <c r="J44" s="12" t="str">
        <f aca="true">IF(B44="","",TODAY()-B44)</f>
        <v/>
      </c>
      <c r="K44" s="16" t="str">
        <f aca="true">IF(H44="","",IF(OR(H44="Enrolled",H44="Lost"),"Closed",IF(I44="","Set follow up date",IF(I44&lt;=TODAY(),"Follow up now","On track"))))</f>
        <v/>
      </c>
      <c r="L44" s="14"/>
    </row>
    <row r="45" customFormat="false" ht="15" hidden="false" customHeight="false" outlineLevel="0" collapsed="false">
      <c r="A45" s="12" t="str">
        <f aca="false">IF(B45="","",ROW()-4)</f>
        <v/>
      </c>
      <c r="B45" s="13"/>
      <c r="C45" s="14"/>
      <c r="D45" s="14"/>
      <c r="E45" s="14"/>
      <c r="F45" s="15"/>
      <c r="G45" s="15"/>
      <c r="H45" s="15"/>
      <c r="I45" s="13"/>
      <c r="J45" s="12" t="str">
        <f aca="true">IF(B45="","",TODAY()-B45)</f>
        <v/>
      </c>
      <c r="K45" s="16" t="str">
        <f aca="true">IF(H45="","",IF(OR(H45="Enrolled",H45="Lost"),"Closed",IF(I45="","Set follow up date",IF(I45&lt;=TODAY(),"Follow up now","On track"))))</f>
        <v/>
      </c>
      <c r="L45" s="14"/>
    </row>
    <row r="46" customFormat="false" ht="15" hidden="false" customHeight="false" outlineLevel="0" collapsed="false">
      <c r="A46" s="12" t="str">
        <f aca="false">IF(B46="","",ROW()-4)</f>
        <v/>
      </c>
      <c r="B46" s="13"/>
      <c r="C46" s="14"/>
      <c r="D46" s="14"/>
      <c r="E46" s="14"/>
      <c r="F46" s="15"/>
      <c r="G46" s="15"/>
      <c r="H46" s="15"/>
      <c r="I46" s="13"/>
      <c r="J46" s="12" t="str">
        <f aca="true">IF(B46="","",TODAY()-B46)</f>
        <v/>
      </c>
      <c r="K46" s="16" t="str">
        <f aca="true">IF(H46="","",IF(OR(H46="Enrolled",H46="Lost"),"Closed",IF(I46="","Set follow up date",IF(I46&lt;=TODAY(),"Follow up now","On track"))))</f>
        <v/>
      </c>
      <c r="L46" s="14"/>
    </row>
    <row r="47" customFormat="false" ht="15" hidden="false" customHeight="false" outlineLevel="0" collapsed="false">
      <c r="A47" s="12" t="str">
        <f aca="false">IF(B47="","",ROW()-4)</f>
        <v/>
      </c>
      <c r="B47" s="13"/>
      <c r="C47" s="14"/>
      <c r="D47" s="14"/>
      <c r="E47" s="14"/>
      <c r="F47" s="15"/>
      <c r="G47" s="15"/>
      <c r="H47" s="15"/>
      <c r="I47" s="13"/>
      <c r="J47" s="12" t="str">
        <f aca="true">IF(B47="","",TODAY()-B47)</f>
        <v/>
      </c>
      <c r="K47" s="16" t="str">
        <f aca="true">IF(H47="","",IF(OR(H47="Enrolled",H47="Lost"),"Closed",IF(I47="","Set follow up date",IF(I47&lt;=TODAY(),"Follow up now","On track"))))</f>
        <v/>
      </c>
      <c r="L47" s="14"/>
    </row>
    <row r="48" customFormat="false" ht="15" hidden="false" customHeight="false" outlineLevel="0" collapsed="false">
      <c r="A48" s="12" t="str">
        <f aca="false">IF(B48="","",ROW()-4)</f>
        <v/>
      </c>
      <c r="B48" s="13"/>
      <c r="C48" s="14"/>
      <c r="D48" s="14"/>
      <c r="E48" s="14"/>
      <c r="F48" s="15"/>
      <c r="G48" s="15"/>
      <c r="H48" s="15"/>
      <c r="I48" s="13"/>
      <c r="J48" s="12" t="str">
        <f aca="true">IF(B48="","",TODAY()-B48)</f>
        <v/>
      </c>
      <c r="K48" s="16" t="str">
        <f aca="true">IF(H48="","",IF(OR(H48="Enrolled",H48="Lost"),"Closed",IF(I48="","Set follow up date",IF(I48&lt;=TODAY(),"Follow up now","On track"))))</f>
        <v/>
      </c>
      <c r="L48" s="14"/>
    </row>
    <row r="49" customFormat="false" ht="15" hidden="false" customHeight="false" outlineLevel="0" collapsed="false">
      <c r="A49" s="12" t="str">
        <f aca="false">IF(B49="","",ROW()-4)</f>
        <v/>
      </c>
      <c r="B49" s="13"/>
      <c r="C49" s="14"/>
      <c r="D49" s="14"/>
      <c r="E49" s="14"/>
      <c r="F49" s="15"/>
      <c r="G49" s="15"/>
      <c r="H49" s="15"/>
      <c r="I49" s="13"/>
      <c r="J49" s="12" t="str">
        <f aca="true">IF(B49="","",TODAY()-B49)</f>
        <v/>
      </c>
      <c r="K49" s="16" t="str">
        <f aca="true">IF(H49="","",IF(OR(H49="Enrolled",H49="Lost"),"Closed",IF(I49="","Set follow up date",IF(I49&lt;=TODAY(),"Follow up now","On track"))))</f>
        <v/>
      </c>
      <c r="L49" s="14"/>
    </row>
    <row r="50" customFormat="false" ht="15" hidden="false" customHeight="false" outlineLevel="0" collapsed="false">
      <c r="A50" s="12" t="str">
        <f aca="false">IF(B50="","",ROW()-4)</f>
        <v/>
      </c>
      <c r="B50" s="13"/>
      <c r="C50" s="14"/>
      <c r="D50" s="14"/>
      <c r="E50" s="14"/>
      <c r="F50" s="15"/>
      <c r="G50" s="15"/>
      <c r="H50" s="15"/>
      <c r="I50" s="13"/>
      <c r="J50" s="12" t="str">
        <f aca="true">IF(B50="","",TODAY()-B50)</f>
        <v/>
      </c>
      <c r="K50" s="16" t="str">
        <f aca="true">IF(H50="","",IF(OR(H50="Enrolled",H50="Lost"),"Closed",IF(I50="","Set follow up date",IF(I50&lt;=TODAY(),"Follow up now","On track"))))</f>
        <v/>
      </c>
      <c r="L50" s="14"/>
    </row>
    <row r="51" customFormat="false" ht="15" hidden="false" customHeight="false" outlineLevel="0" collapsed="false">
      <c r="A51" s="12" t="str">
        <f aca="false">IF(B51="","",ROW()-4)</f>
        <v/>
      </c>
      <c r="B51" s="13"/>
      <c r="C51" s="14"/>
      <c r="D51" s="14"/>
      <c r="E51" s="14"/>
      <c r="F51" s="15"/>
      <c r="G51" s="15"/>
      <c r="H51" s="15"/>
      <c r="I51" s="13"/>
      <c r="J51" s="12" t="str">
        <f aca="true">IF(B51="","",TODAY()-B51)</f>
        <v/>
      </c>
      <c r="K51" s="16" t="str">
        <f aca="true">IF(H51="","",IF(OR(H51="Enrolled",H51="Lost"),"Closed",IF(I51="","Set follow up date",IF(I51&lt;=TODAY(),"Follow up now","On track"))))</f>
        <v/>
      </c>
      <c r="L51" s="14"/>
    </row>
    <row r="52" customFormat="false" ht="15" hidden="false" customHeight="false" outlineLevel="0" collapsed="false">
      <c r="A52" s="12" t="str">
        <f aca="false">IF(B52="","",ROW()-4)</f>
        <v/>
      </c>
      <c r="B52" s="13"/>
      <c r="C52" s="14"/>
      <c r="D52" s="14"/>
      <c r="E52" s="14"/>
      <c r="F52" s="15"/>
      <c r="G52" s="15"/>
      <c r="H52" s="15"/>
      <c r="I52" s="13"/>
      <c r="J52" s="12" t="str">
        <f aca="true">IF(B52="","",TODAY()-B52)</f>
        <v/>
      </c>
      <c r="K52" s="16" t="str">
        <f aca="true">IF(H52="","",IF(OR(H52="Enrolled",H52="Lost"),"Closed",IF(I52="","Set follow up date",IF(I52&lt;=TODAY(),"Follow up now","On track"))))</f>
        <v/>
      </c>
      <c r="L52" s="14"/>
    </row>
    <row r="53" customFormat="false" ht="15" hidden="false" customHeight="false" outlineLevel="0" collapsed="false">
      <c r="A53" s="12" t="str">
        <f aca="false">IF(B53="","",ROW()-4)</f>
        <v/>
      </c>
      <c r="B53" s="13"/>
      <c r="C53" s="14"/>
      <c r="D53" s="14"/>
      <c r="E53" s="14"/>
      <c r="F53" s="15"/>
      <c r="G53" s="15"/>
      <c r="H53" s="15"/>
      <c r="I53" s="13"/>
      <c r="J53" s="12" t="str">
        <f aca="true">IF(B53="","",TODAY()-B53)</f>
        <v/>
      </c>
      <c r="K53" s="16" t="str">
        <f aca="true">IF(H53="","",IF(OR(H53="Enrolled",H53="Lost"),"Closed",IF(I53="","Set follow up date",IF(I53&lt;=TODAY(),"Follow up now","On track"))))</f>
        <v/>
      </c>
      <c r="L53" s="14"/>
    </row>
    <row r="54" customFormat="false" ht="15" hidden="false" customHeight="false" outlineLevel="0" collapsed="false">
      <c r="A54" s="12" t="str">
        <f aca="false">IF(B54="","",ROW()-4)</f>
        <v/>
      </c>
      <c r="B54" s="13"/>
      <c r="C54" s="14"/>
      <c r="D54" s="14"/>
      <c r="E54" s="14"/>
      <c r="F54" s="15"/>
      <c r="G54" s="15"/>
      <c r="H54" s="15"/>
      <c r="I54" s="13"/>
      <c r="J54" s="12" t="str">
        <f aca="true">IF(B54="","",TODAY()-B54)</f>
        <v/>
      </c>
      <c r="K54" s="16" t="str">
        <f aca="true">IF(H54="","",IF(OR(H54="Enrolled",H54="Lost"),"Closed",IF(I54="","Set follow up date",IF(I54&lt;=TODAY(),"Follow up now","On track"))))</f>
        <v/>
      </c>
      <c r="L54" s="14"/>
    </row>
    <row r="55" customFormat="false" ht="15" hidden="false" customHeight="false" outlineLevel="0" collapsed="false">
      <c r="A55" s="12" t="str">
        <f aca="false">IF(B55="","",ROW()-4)</f>
        <v/>
      </c>
      <c r="B55" s="13"/>
      <c r="C55" s="14"/>
      <c r="D55" s="14"/>
      <c r="E55" s="14"/>
      <c r="F55" s="15"/>
      <c r="G55" s="15"/>
      <c r="H55" s="15"/>
      <c r="I55" s="13"/>
      <c r="J55" s="12" t="str">
        <f aca="true">IF(B55="","",TODAY()-B55)</f>
        <v/>
      </c>
      <c r="K55" s="16" t="str">
        <f aca="true">IF(H55="","",IF(OR(H55="Enrolled",H55="Lost"),"Closed",IF(I55="","Set follow up date",IF(I55&lt;=TODAY(),"Follow up now","On track"))))</f>
        <v/>
      </c>
      <c r="L55" s="14"/>
    </row>
    <row r="56" customFormat="false" ht="15" hidden="false" customHeight="false" outlineLevel="0" collapsed="false">
      <c r="A56" s="12" t="str">
        <f aca="false">IF(B56="","",ROW()-4)</f>
        <v/>
      </c>
      <c r="B56" s="13"/>
      <c r="C56" s="14"/>
      <c r="D56" s="14"/>
      <c r="E56" s="14"/>
      <c r="F56" s="15"/>
      <c r="G56" s="15"/>
      <c r="H56" s="15"/>
      <c r="I56" s="13"/>
      <c r="J56" s="12" t="str">
        <f aca="true">IF(B56="","",TODAY()-B56)</f>
        <v/>
      </c>
      <c r="K56" s="16" t="str">
        <f aca="true">IF(H56="","",IF(OR(H56="Enrolled",H56="Lost"),"Closed",IF(I56="","Set follow up date",IF(I56&lt;=TODAY(),"Follow up now","On track"))))</f>
        <v/>
      </c>
      <c r="L56" s="14"/>
    </row>
    <row r="57" customFormat="false" ht="15" hidden="false" customHeight="false" outlineLevel="0" collapsed="false">
      <c r="A57" s="12" t="str">
        <f aca="false">IF(B57="","",ROW()-4)</f>
        <v/>
      </c>
      <c r="B57" s="13"/>
      <c r="C57" s="14"/>
      <c r="D57" s="14"/>
      <c r="E57" s="14"/>
      <c r="F57" s="15"/>
      <c r="G57" s="15"/>
      <c r="H57" s="15"/>
      <c r="I57" s="13"/>
      <c r="J57" s="12" t="str">
        <f aca="true">IF(B57="","",TODAY()-B57)</f>
        <v/>
      </c>
      <c r="K57" s="16" t="str">
        <f aca="true">IF(H57="","",IF(OR(H57="Enrolled",H57="Lost"),"Closed",IF(I57="","Set follow up date",IF(I57&lt;=TODAY(),"Follow up now","On track"))))</f>
        <v/>
      </c>
      <c r="L57" s="14"/>
    </row>
    <row r="58" customFormat="false" ht="15" hidden="false" customHeight="false" outlineLevel="0" collapsed="false">
      <c r="A58" s="12" t="str">
        <f aca="false">IF(B58="","",ROW()-4)</f>
        <v/>
      </c>
      <c r="B58" s="13"/>
      <c r="C58" s="14"/>
      <c r="D58" s="14"/>
      <c r="E58" s="14"/>
      <c r="F58" s="15"/>
      <c r="G58" s="15"/>
      <c r="H58" s="15"/>
      <c r="I58" s="13"/>
      <c r="J58" s="12" t="str">
        <f aca="true">IF(B58="","",TODAY()-B58)</f>
        <v/>
      </c>
      <c r="K58" s="16" t="str">
        <f aca="true">IF(H58="","",IF(OR(H58="Enrolled",H58="Lost"),"Closed",IF(I58="","Set follow up date",IF(I58&lt;=TODAY(),"Follow up now","On track"))))</f>
        <v/>
      </c>
      <c r="L58" s="14"/>
    </row>
    <row r="59" customFormat="false" ht="15" hidden="false" customHeight="false" outlineLevel="0" collapsed="false">
      <c r="A59" s="12" t="str">
        <f aca="false">IF(B59="","",ROW()-4)</f>
        <v/>
      </c>
      <c r="B59" s="13"/>
      <c r="C59" s="14"/>
      <c r="D59" s="14"/>
      <c r="E59" s="14"/>
      <c r="F59" s="15"/>
      <c r="G59" s="15"/>
      <c r="H59" s="15"/>
      <c r="I59" s="13"/>
      <c r="J59" s="12" t="str">
        <f aca="true">IF(B59="","",TODAY()-B59)</f>
        <v/>
      </c>
      <c r="K59" s="16" t="str">
        <f aca="true">IF(H59="","",IF(OR(H59="Enrolled",H59="Lost"),"Closed",IF(I59="","Set follow up date",IF(I59&lt;=TODAY(),"Follow up now","On track"))))</f>
        <v/>
      </c>
      <c r="L59" s="14"/>
    </row>
    <row r="60" customFormat="false" ht="15" hidden="false" customHeight="false" outlineLevel="0" collapsed="false">
      <c r="A60" s="12" t="str">
        <f aca="false">IF(B60="","",ROW()-4)</f>
        <v/>
      </c>
      <c r="B60" s="13"/>
      <c r="C60" s="14"/>
      <c r="D60" s="14"/>
      <c r="E60" s="14"/>
      <c r="F60" s="15"/>
      <c r="G60" s="15"/>
      <c r="H60" s="15"/>
      <c r="I60" s="13"/>
      <c r="J60" s="12" t="str">
        <f aca="true">IF(B60="","",TODAY()-B60)</f>
        <v/>
      </c>
      <c r="K60" s="16" t="str">
        <f aca="true">IF(H60="","",IF(OR(H60="Enrolled",H60="Lost"),"Closed",IF(I60="","Set follow up date",IF(I60&lt;=TODAY(),"Follow up now","On track"))))</f>
        <v/>
      </c>
      <c r="L60" s="14"/>
    </row>
    <row r="61" customFormat="false" ht="15" hidden="false" customHeight="false" outlineLevel="0" collapsed="false">
      <c r="A61" s="12" t="str">
        <f aca="false">IF(B61="","",ROW()-4)</f>
        <v/>
      </c>
      <c r="B61" s="13"/>
      <c r="C61" s="14"/>
      <c r="D61" s="14"/>
      <c r="E61" s="14"/>
      <c r="F61" s="15"/>
      <c r="G61" s="15"/>
      <c r="H61" s="15"/>
      <c r="I61" s="13"/>
      <c r="J61" s="12" t="str">
        <f aca="true">IF(B61="","",TODAY()-B61)</f>
        <v/>
      </c>
      <c r="K61" s="16" t="str">
        <f aca="true">IF(H61="","",IF(OR(H61="Enrolled",H61="Lost"),"Closed",IF(I61="","Set follow up date",IF(I61&lt;=TODAY(),"Follow up now","On track"))))</f>
        <v/>
      </c>
      <c r="L61" s="14"/>
    </row>
    <row r="62" customFormat="false" ht="15" hidden="false" customHeight="false" outlineLevel="0" collapsed="false">
      <c r="A62" s="12" t="str">
        <f aca="false">IF(B62="","",ROW()-4)</f>
        <v/>
      </c>
      <c r="B62" s="13"/>
      <c r="C62" s="14"/>
      <c r="D62" s="14"/>
      <c r="E62" s="14"/>
      <c r="F62" s="15"/>
      <c r="G62" s="15"/>
      <c r="H62" s="15"/>
      <c r="I62" s="13"/>
      <c r="J62" s="12" t="str">
        <f aca="true">IF(B62="","",TODAY()-B62)</f>
        <v/>
      </c>
      <c r="K62" s="16" t="str">
        <f aca="true">IF(H62="","",IF(OR(H62="Enrolled",H62="Lost"),"Closed",IF(I62="","Set follow up date",IF(I62&lt;=TODAY(),"Follow up now","On track"))))</f>
        <v/>
      </c>
      <c r="L62" s="14"/>
    </row>
    <row r="63" customFormat="false" ht="15" hidden="false" customHeight="false" outlineLevel="0" collapsed="false">
      <c r="A63" s="12" t="str">
        <f aca="false">IF(B63="","",ROW()-4)</f>
        <v/>
      </c>
      <c r="B63" s="13"/>
      <c r="C63" s="14"/>
      <c r="D63" s="14"/>
      <c r="E63" s="14"/>
      <c r="F63" s="15"/>
      <c r="G63" s="15"/>
      <c r="H63" s="15"/>
      <c r="I63" s="13"/>
      <c r="J63" s="12" t="str">
        <f aca="true">IF(B63="","",TODAY()-B63)</f>
        <v/>
      </c>
      <c r="K63" s="16" t="str">
        <f aca="true">IF(H63="","",IF(OR(H63="Enrolled",H63="Lost"),"Closed",IF(I63="","Set follow up date",IF(I63&lt;=TODAY(),"Follow up now","On track"))))</f>
        <v/>
      </c>
      <c r="L63" s="14"/>
    </row>
    <row r="64" customFormat="false" ht="15" hidden="false" customHeight="false" outlineLevel="0" collapsed="false">
      <c r="A64" s="12" t="str">
        <f aca="false">IF(B64="","",ROW()-4)</f>
        <v/>
      </c>
      <c r="B64" s="13"/>
      <c r="C64" s="14"/>
      <c r="D64" s="14"/>
      <c r="E64" s="14"/>
      <c r="F64" s="15"/>
      <c r="G64" s="15"/>
      <c r="H64" s="15"/>
      <c r="I64" s="13"/>
      <c r="J64" s="12" t="str">
        <f aca="true">IF(B64="","",TODAY()-B64)</f>
        <v/>
      </c>
      <c r="K64" s="16" t="str">
        <f aca="true">IF(H64="","",IF(OR(H64="Enrolled",H64="Lost"),"Closed",IF(I64="","Set follow up date",IF(I64&lt;=TODAY(),"Follow up now","On track"))))</f>
        <v/>
      </c>
      <c r="L64" s="14"/>
    </row>
    <row r="65" customFormat="false" ht="15" hidden="false" customHeight="false" outlineLevel="0" collapsed="false">
      <c r="A65" s="12" t="str">
        <f aca="false">IF(B65="","",ROW()-4)</f>
        <v/>
      </c>
      <c r="B65" s="13"/>
      <c r="C65" s="14"/>
      <c r="D65" s="14"/>
      <c r="E65" s="14"/>
      <c r="F65" s="15"/>
      <c r="G65" s="15"/>
      <c r="H65" s="15"/>
      <c r="I65" s="13"/>
      <c r="J65" s="12" t="str">
        <f aca="true">IF(B65="","",TODAY()-B65)</f>
        <v/>
      </c>
      <c r="K65" s="16" t="str">
        <f aca="true">IF(H65="","",IF(OR(H65="Enrolled",H65="Lost"),"Closed",IF(I65="","Set follow up date",IF(I65&lt;=TODAY(),"Follow up now","On track"))))</f>
        <v/>
      </c>
      <c r="L65" s="14"/>
    </row>
    <row r="66" customFormat="false" ht="15" hidden="false" customHeight="false" outlineLevel="0" collapsed="false">
      <c r="A66" s="12" t="str">
        <f aca="false">IF(B66="","",ROW()-4)</f>
        <v/>
      </c>
      <c r="B66" s="13"/>
      <c r="C66" s="14"/>
      <c r="D66" s="14"/>
      <c r="E66" s="14"/>
      <c r="F66" s="15"/>
      <c r="G66" s="15"/>
      <c r="H66" s="15"/>
      <c r="I66" s="13"/>
      <c r="J66" s="12" t="str">
        <f aca="true">IF(B66="","",TODAY()-B66)</f>
        <v/>
      </c>
      <c r="K66" s="16" t="str">
        <f aca="true">IF(H66="","",IF(OR(H66="Enrolled",H66="Lost"),"Closed",IF(I66="","Set follow up date",IF(I66&lt;=TODAY(),"Follow up now","On track"))))</f>
        <v/>
      </c>
      <c r="L66" s="14"/>
    </row>
    <row r="67" customFormat="false" ht="15" hidden="false" customHeight="false" outlineLevel="0" collapsed="false">
      <c r="A67" s="12" t="str">
        <f aca="false">IF(B67="","",ROW()-4)</f>
        <v/>
      </c>
      <c r="B67" s="13"/>
      <c r="C67" s="14"/>
      <c r="D67" s="14"/>
      <c r="E67" s="14"/>
      <c r="F67" s="15"/>
      <c r="G67" s="15"/>
      <c r="H67" s="15"/>
      <c r="I67" s="13"/>
      <c r="J67" s="12" t="str">
        <f aca="true">IF(B67="","",TODAY()-B67)</f>
        <v/>
      </c>
      <c r="K67" s="16" t="str">
        <f aca="true">IF(H67="","",IF(OR(H67="Enrolled",H67="Lost"),"Closed",IF(I67="","Set follow up date",IF(I67&lt;=TODAY(),"Follow up now","On track"))))</f>
        <v/>
      </c>
      <c r="L67" s="14"/>
    </row>
    <row r="68" customFormat="false" ht="15" hidden="false" customHeight="false" outlineLevel="0" collapsed="false">
      <c r="A68" s="12" t="str">
        <f aca="false">IF(B68="","",ROW()-4)</f>
        <v/>
      </c>
      <c r="B68" s="13"/>
      <c r="C68" s="14"/>
      <c r="D68" s="14"/>
      <c r="E68" s="14"/>
      <c r="F68" s="15"/>
      <c r="G68" s="15"/>
      <c r="H68" s="15"/>
      <c r="I68" s="13"/>
      <c r="J68" s="12" t="str">
        <f aca="true">IF(B68="","",TODAY()-B68)</f>
        <v/>
      </c>
      <c r="K68" s="16" t="str">
        <f aca="true">IF(H68="","",IF(OR(H68="Enrolled",H68="Lost"),"Closed",IF(I68="","Set follow up date",IF(I68&lt;=TODAY(),"Follow up now","On track"))))</f>
        <v/>
      </c>
      <c r="L68" s="14"/>
    </row>
    <row r="69" customFormat="false" ht="15" hidden="false" customHeight="false" outlineLevel="0" collapsed="false">
      <c r="A69" s="12" t="str">
        <f aca="false">IF(B69="","",ROW()-4)</f>
        <v/>
      </c>
      <c r="B69" s="13"/>
      <c r="C69" s="14"/>
      <c r="D69" s="14"/>
      <c r="E69" s="14"/>
      <c r="F69" s="15"/>
      <c r="G69" s="15"/>
      <c r="H69" s="15"/>
      <c r="I69" s="13"/>
      <c r="J69" s="12" t="str">
        <f aca="true">IF(B69="","",TODAY()-B69)</f>
        <v/>
      </c>
      <c r="K69" s="16" t="str">
        <f aca="true">IF(H69="","",IF(OR(H69="Enrolled",H69="Lost"),"Closed",IF(I69="","Set follow up date",IF(I69&lt;=TODAY(),"Follow up now","On track"))))</f>
        <v/>
      </c>
      <c r="L69" s="14"/>
    </row>
    <row r="70" customFormat="false" ht="15" hidden="false" customHeight="false" outlineLevel="0" collapsed="false">
      <c r="A70" s="12" t="str">
        <f aca="false">IF(B70="","",ROW()-4)</f>
        <v/>
      </c>
      <c r="B70" s="13"/>
      <c r="C70" s="14"/>
      <c r="D70" s="14"/>
      <c r="E70" s="14"/>
      <c r="F70" s="15"/>
      <c r="G70" s="15"/>
      <c r="H70" s="15"/>
      <c r="I70" s="13"/>
      <c r="J70" s="12" t="str">
        <f aca="true">IF(B70="","",TODAY()-B70)</f>
        <v/>
      </c>
      <c r="K70" s="16" t="str">
        <f aca="true">IF(H70="","",IF(OR(H70="Enrolled",H70="Lost"),"Closed",IF(I70="","Set follow up date",IF(I70&lt;=TODAY(),"Follow up now","On track"))))</f>
        <v/>
      </c>
      <c r="L70" s="14"/>
    </row>
    <row r="71" customFormat="false" ht="15" hidden="false" customHeight="false" outlineLevel="0" collapsed="false">
      <c r="A71" s="12" t="str">
        <f aca="false">IF(B71="","",ROW()-4)</f>
        <v/>
      </c>
      <c r="B71" s="13"/>
      <c r="C71" s="14"/>
      <c r="D71" s="14"/>
      <c r="E71" s="14"/>
      <c r="F71" s="15"/>
      <c r="G71" s="15"/>
      <c r="H71" s="15"/>
      <c r="I71" s="13"/>
      <c r="J71" s="12" t="str">
        <f aca="true">IF(B71="","",TODAY()-B71)</f>
        <v/>
      </c>
      <c r="K71" s="16" t="str">
        <f aca="true">IF(H71="","",IF(OR(H71="Enrolled",H71="Lost"),"Closed",IF(I71="","Set follow up date",IF(I71&lt;=TODAY(),"Follow up now","On track"))))</f>
        <v/>
      </c>
      <c r="L71" s="14"/>
    </row>
    <row r="72" customFormat="false" ht="15" hidden="false" customHeight="false" outlineLevel="0" collapsed="false">
      <c r="A72" s="12" t="str">
        <f aca="false">IF(B72="","",ROW()-4)</f>
        <v/>
      </c>
      <c r="B72" s="13"/>
      <c r="C72" s="14"/>
      <c r="D72" s="14"/>
      <c r="E72" s="14"/>
      <c r="F72" s="15"/>
      <c r="G72" s="15"/>
      <c r="H72" s="15"/>
      <c r="I72" s="13"/>
      <c r="J72" s="12" t="str">
        <f aca="true">IF(B72="","",TODAY()-B72)</f>
        <v/>
      </c>
      <c r="K72" s="16" t="str">
        <f aca="true">IF(H72="","",IF(OR(H72="Enrolled",H72="Lost"),"Closed",IF(I72="","Set follow up date",IF(I72&lt;=TODAY(),"Follow up now","On track"))))</f>
        <v/>
      </c>
      <c r="L72" s="14"/>
    </row>
    <row r="73" customFormat="false" ht="15" hidden="false" customHeight="false" outlineLevel="0" collapsed="false">
      <c r="A73" s="12" t="str">
        <f aca="false">IF(B73="","",ROW()-4)</f>
        <v/>
      </c>
      <c r="B73" s="13"/>
      <c r="C73" s="14"/>
      <c r="D73" s="14"/>
      <c r="E73" s="14"/>
      <c r="F73" s="15"/>
      <c r="G73" s="15"/>
      <c r="H73" s="15"/>
      <c r="I73" s="13"/>
      <c r="J73" s="12" t="str">
        <f aca="true">IF(B73="","",TODAY()-B73)</f>
        <v/>
      </c>
      <c r="K73" s="16" t="str">
        <f aca="true">IF(H73="","",IF(OR(H73="Enrolled",H73="Lost"),"Closed",IF(I73="","Set follow up date",IF(I73&lt;=TODAY(),"Follow up now","On track"))))</f>
        <v/>
      </c>
      <c r="L73" s="14"/>
    </row>
    <row r="74" customFormat="false" ht="15" hidden="false" customHeight="false" outlineLevel="0" collapsed="false">
      <c r="A74" s="12" t="str">
        <f aca="false">IF(B74="","",ROW()-4)</f>
        <v/>
      </c>
      <c r="B74" s="13"/>
      <c r="C74" s="14"/>
      <c r="D74" s="14"/>
      <c r="E74" s="14"/>
      <c r="F74" s="15"/>
      <c r="G74" s="15"/>
      <c r="H74" s="15"/>
      <c r="I74" s="13"/>
      <c r="J74" s="12" t="str">
        <f aca="true">IF(B74="","",TODAY()-B74)</f>
        <v/>
      </c>
      <c r="K74" s="16" t="str">
        <f aca="true">IF(H74="","",IF(OR(H74="Enrolled",H74="Lost"),"Closed",IF(I74="","Set follow up date",IF(I74&lt;=TODAY(),"Follow up now","On track"))))</f>
        <v/>
      </c>
      <c r="L74" s="14"/>
    </row>
    <row r="75" customFormat="false" ht="15" hidden="false" customHeight="false" outlineLevel="0" collapsed="false">
      <c r="A75" s="12" t="str">
        <f aca="false">IF(B75="","",ROW()-4)</f>
        <v/>
      </c>
      <c r="B75" s="13"/>
      <c r="C75" s="14"/>
      <c r="D75" s="14"/>
      <c r="E75" s="14"/>
      <c r="F75" s="15"/>
      <c r="G75" s="15"/>
      <c r="H75" s="15"/>
      <c r="I75" s="13"/>
      <c r="J75" s="12" t="str">
        <f aca="true">IF(B75="","",TODAY()-B75)</f>
        <v/>
      </c>
      <c r="K75" s="16" t="str">
        <f aca="true">IF(H75="","",IF(OR(H75="Enrolled",H75="Lost"),"Closed",IF(I75="","Set follow up date",IF(I75&lt;=TODAY(),"Follow up now","On track"))))</f>
        <v/>
      </c>
      <c r="L75" s="14"/>
    </row>
    <row r="76" customFormat="false" ht="15" hidden="false" customHeight="false" outlineLevel="0" collapsed="false">
      <c r="A76" s="12" t="str">
        <f aca="false">IF(B76="","",ROW()-4)</f>
        <v/>
      </c>
      <c r="B76" s="13"/>
      <c r="C76" s="14"/>
      <c r="D76" s="14"/>
      <c r="E76" s="14"/>
      <c r="F76" s="15"/>
      <c r="G76" s="15"/>
      <c r="H76" s="15"/>
      <c r="I76" s="13"/>
      <c r="J76" s="12" t="str">
        <f aca="true">IF(B76="","",TODAY()-B76)</f>
        <v/>
      </c>
      <c r="K76" s="16" t="str">
        <f aca="true">IF(H76="","",IF(OR(H76="Enrolled",H76="Lost"),"Closed",IF(I76="","Set follow up date",IF(I76&lt;=TODAY(),"Follow up now","On track"))))</f>
        <v/>
      </c>
      <c r="L76" s="14"/>
    </row>
    <row r="77" customFormat="false" ht="15" hidden="false" customHeight="false" outlineLevel="0" collapsed="false">
      <c r="A77" s="12" t="str">
        <f aca="false">IF(B77="","",ROW()-4)</f>
        <v/>
      </c>
      <c r="B77" s="13"/>
      <c r="C77" s="14"/>
      <c r="D77" s="14"/>
      <c r="E77" s="14"/>
      <c r="F77" s="15"/>
      <c r="G77" s="15"/>
      <c r="H77" s="15"/>
      <c r="I77" s="13"/>
      <c r="J77" s="12" t="str">
        <f aca="true">IF(B77="","",TODAY()-B77)</f>
        <v/>
      </c>
      <c r="K77" s="16" t="str">
        <f aca="true">IF(H77="","",IF(OR(H77="Enrolled",H77="Lost"),"Closed",IF(I77="","Set follow up date",IF(I77&lt;=TODAY(),"Follow up now","On track"))))</f>
        <v/>
      </c>
      <c r="L77" s="14"/>
    </row>
    <row r="78" customFormat="false" ht="15" hidden="false" customHeight="false" outlineLevel="0" collapsed="false">
      <c r="A78" s="12" t="str">
        <f aca="false">IF(B78="","",ROW()-4)</f>
        <v/>
      </c>
      <c r="B78" s="13"/>
      <c r="C78" s="14"/>
      <c r="D78" s="14"/>
      <c r="E78" s="14"/>
      <c r="F78" s="15"/>
      <c r="G78" s="15"/>
      <c r="H78" s="15"/>
      <c r="I78" s="13"/>
      <c r="J78" s="12" t="str">
        <f aca="true">IF(B78="","",TODAY()-B78)</f>
        <v/>
      </c>
      <c r="K78" s="16" t="str">
        <f aca="true">IF(H78="","",IF(OR(H78="Enrolled",H78="Lost"),"Closed",IF(I78="","Set follow up date",IF(I78&lt;=TODAY(),"Follow up now","On track"))))</f>
        <v/>
      </c>
      <c r="L78" s="14"/>
    </row>
    <row r="79" customFormat="false" ht="15" hidden="false" customHeight="false" outlineLevel="0" collapsed="false">
      <c r="A79" s="12" t="str">
        <f aca="false">IF(B79="","",ROW()-4)</f>
        <v/>
      </c>
      <c r="B79" s="13"/>
      <c r="C79" s="14"/>
      <c r="D79" s="14"/>
      <c r="E79" s="14"/>
      <c r="F79" s="15"/>
      <c r="G79" s="15"/>
      <c r="H79" s="15"/>
      <c r="I79" s="13"/>
      <c r="J79" s="12" t="str">
        <f aca="true">IF(B79="","",TODAY()-B79)</f>
        <v/>
      </c>
      <c r="K79" s="16" t="str">
        <f aca="true">IF(H79="","",IF(OR(H79="Enrolled",H79="Lost"),"Closed",IF(I79="","Set follow up date",IF(I79&lt;=TODAY(),"Follow up now","On track"))))</f>
        <v/>
      </c>
      <c r="L79" s="14"/>
    </row>
    <row r="80" customFormat="false" ht="15" hidden="false" customHeight="false" outlineLevel="0" collapsed="false">
      <c r="A80" s="12" t="str">
        <f aca="false">IF(B80="","",ROW()-4)</f>
        <v/>
      </c>
      <c r="B80" s="13"/>
      <c r="C80" s="14"/>
      <c r="D80" s="14"/>
      <c r="E80" s="14"/>
      <c r="F80" s="15"/>
      <c r="G80" s="15"/>
      <c r="H80" s="15"/>
      <c r="I80" s="13"/>
      <c r="J80" s="12" t="str">
        <f aca="true">IF(B80="","",TODAY()-B80)</f>
        <v/>
      </c>
      <c r="K80" s="16" t="str">
        <f aca="true">IF(H80="","",IF(OR(H80="Enrolled",H80="Lost"),"Closed",IF(I80="","Set follow up date",IF(I80&lt;=TODAY(),"Follow up now","On track"))))</f>
        <v/>
      </c>
      <c r="L80" s="14"/>
    </row>
    <row r="81" customFormat="false" ht="15" hidden="false" customHeight="false" outlineLevel="0" collapsed="false">
      <c r="A81" s="12" t="str">
        <f aca="false">IF(B81="","",ROW()-4)</f>
        <v/>
      </c>
      <c r="B81" s="13"/>
      <c r="C81" s="14"/>
      <c r="D81" s="14"/>
      <c r="E81" s="14"/>
      <c r="F81" s="15"/>
      <c r="G81" s="15"/>
      <c r="H81" s="15"/>
      <c r="I81" s="13"/>
      <c r="J81" s="12" t="str">
        <f aca="true">IF(B81="","",TODAY()-B81)</f>
        <v/>
      </c>
      <c r="K81" s="16" t="str">
        <f aca="true">IF(H81="","",IF(OR(H81="Enrolled",H81="Lost"),"Closed",IF(I81="","Set follow up date",IF(I81&lt;=TODAY(),"Follow up now","On track"))))</f>
        <v/>
      </c>
      <c r="L81" s="14"/>
    </row>
    <row r="82" customFormat="false" ht="15" hidden="false" customHeight="false" outlineLevel="0" collapsed="false">
      <c r="A82" s="12" t="str">
        <f aca="false">IF(B82="","",ROW()-4)</f>
        <v/>
      </c>
      <c r="B82" s="13"/>
      <c r="C82" s="14"/>
      <c r="D82" s="14"/>
      <c r="E82" s="14"/>
      <c r="F82" s="15"/>
      <c r="G82" s="15"/>
      <c r="H82" s="15"/>
      <c r="I82" s="13"/>
      <c r="J82" s="12" t="str">
        <f aca="true">IF(B82="","",TODAY()-B82)</f>
        <v/>
      </c>
      <c r="K82" s="16" t="str">
        <f aca="true">IF(H82="","",IF(OR(H82="Enrolled",H82="Lost"),"Closed",IF(I82="","Set follow up date",IF(I82&lt;=TODAY(),"Follow up now","On track"))))</f>
        <v/>
      </c>
      <c r="L82" s="14"/>
    </row>
    <row r="83" customFormat="false" ht="15" hidden="false" customHeight="false" outlineLevel="0" collapsed="false">
      <c r="A83" s="12" t="str">
        <f aca="false">IF(B83="","",ROW()-4)</f>
        <v/>
      </c>
      <c r="B83" s="13"/>
      <c r="C83" s="14"/>
      <c r="D83" s="14"/>
      <c r="E83" s="14"/>
      <c r="F83" s="15"/>
      <c r="G83" s="15"/>
      <c r="H83" s="15"/>
      <c r="I83" s="13"/>
      <c r="J83" s="12" t="str">
        <f aca="true">IF(B83="","",TODAY()-B83)</f>
        <v/>
      </c>
      <c r="K83" s="16" t="str">
        <f aca="true">IF(H83="","",IF(OR(H83="Enrolled",H83="Lost"),"Closed",IF(I83="","Set follow up date",IF(I83&lt;=TODAY(),"Follow up now","On track"))))</f>
        <v/>
      </c>
      <c r="L83" s="14"/>
    </row>
    <row r="84" customFormat="false" ht="15" hidden="false" customHeight="false" outlineLevel="0" collapsed="false">
      <c r="A84" s="12" t="str">
        <f aca="false">IF(B84="","",ROW()-4)</f>
        <v/>
      </c>
      <c r="B84" s="13"/>
      <c r="C84" s="14"/>
      <c r="D84" s="14"/>
      <c r="E84" s="14"/>
      <c r="F84" s="15"/>
      <c r="G84" s="15"/>
      <c r="H84" s="15"/>
      <c r="I84" s="13"/>
      <c r="J84" s="12" t="str">
        <f aca="true">IF(B84="","",TODAY()-B84)</f>
        <v/>
      </c>
      <c r="K84" s="16" t="str">
        <f aca="true">IF(H84="","",IF(OR(H84="Enrolled",H84="Lost"),"Closed",IF(I84="","Set follow up date",IF(I84&lt;=TODAY(),"Follow up now","On track"))))</f>
        <v/>
      </c>
      <c r="L84" s="14"/>
    </row>
    <row r="85" customFormat="false" ht="15" hidden="false" customHeight="false" outlineLevel="0" collapsed="false">
      <c r="A85" s="12" t="str">
        <f aca="false">IF(B85="","",ROW()-4)</f>
        <v/>
      </c>
      <c r="B85" s="13"/>
      <c r="C85" s="14"/>
      <c r="D85" s="14"/>
      <c r="E85" s="14"/>
      <c r="F85" s="15"/>
      <c r="G85" s="15"/>
      <c r="H85" s="15"/>
      <c r="I85" s="13"/>
      <c r="J85" s="12" t="str">
        <f aca="true">IF(B85="","",TODAY()-B85)</f>
        <v/>
      </c>
      <c r="K85" s="16" t="str">
        <f aca="true">IF(H85="","",IF(OR(H85="Enrolled",H85="Lost"),"Closed",IF(I85="","Set follow up date",IF(I85&lt;=TODAY(),"Follow up now","On track"))))</f>
        <v/>
      </c>
      <c r="L85" s="14"/>
    </row>
    <row r="86" customFormat="false" ht="15" hidden="false" customHeight="false" outlineLevel="0" collapsed="false">
      <c r="A86" s="12" t="str">
        <f aca="false">IF(B86="","",ROW()-4)</f>
        <v/>
      </c>
      <c r="B86" s="13"/>
      <c r="C86" s="14"/>
      <c r="D86" s="14"/>
      <c r="E86" s="14"/>
      <c r="F86" s="15"/>
      <c r="G86" s="15"/>
      <c r="H86" s="15"/>
      <c r="I86" s="13"/>
      <c r="J86" s="12" t="str">
        <f aca="true">IF(B86="","",TODAY()-B86)</f>
        <v/>
      </c>
      <c r="K86" s="16" t="str">
        <f aca="true">IF(H86="","",IF(OR(H86="Enrolled",H86="Lost"),"Closed",IF(I86="","Set follow up date",IF(I86&lt;=TODAY(),"Follow up now","On track"))))</f>
        <v/>
      </c>
      <c r="L86" s="14"/>
    </row>
    <row r="87" customFormat="false" ht="15" hidden="false" customHeight="false" outlineLevel="0" collapsed="false">
      <c r="A87" s="12" t="str">
        <f aca="false">IF(B87="","",ROW()-4)</f>
        <v/>
      </c>
      <c r="B87" s="13"/>
      <c r="C87" s="14"/>
      <c r="D87" s="14"/>
      <c r="E87" s="14"/>
      <c r="F87" s="15"/>
      <c r="G87" s="15"/>
      <c r="H87" s="15"/>
      <c r="I87" s="13"/>
      <c r="J87" s="12" t="str">
        <f aca="true">IF(B87="","",TODAY()-B87)</f>
        <v/>
      </c>
      <c r="K87" s="16" t="str">
        <f aca="true">IF(H87="","",IF(OR(H87="Enrolled",H87="Lost"),"Closed",IF(I87="","Set follow up date",IF(I87&lt;=TODAY(),"Follow up now","On track"))))</f>
        <v/>
      </c>
      <c r="L87" s="14"/>
    </row>
    <row r="88" customFormat="false" ht="15" hidden="false" customHeight="false" outlineLevel="0" collapsed="false">
      <c r="A88" s="12" t="str">
        <f aca="false">IF(B88="","",ROW()-4)</f>
        <v/>
      </c>
      <c r="B88" s="13"/>
      <c r="C88" s="14"/>
      <c r="D88" s="14"/>
      <c r="E88" s="14"/>
      <c r="F88" s="15"/>
      <c r="G88" s="15"/>
      <c r="H88" s="15"/>
      <c r="I88" s="13"/>
      <c r="J88" s="12" t="str">
        <f aca="true">IF(B88="","",TODAY()-B88)</f>
        <v/>
      </c>
      <c r="K88" s="16" t="str">
        <f aca="true">IF(H88="","",IF(OR(H88="Enrolled",H88="Lost"),"Closed",IF(I88="","Set follow up date",IF(I88&lt;=TODAY(),"Follow up now","On track"))))</f>
        <v/>
      </c>
      <c r="L88" s="14"/>
    </row>
    <row r="89" customFormat="false" ht="15" hidden="false" customHeight="false" outlineLevel="0" collapsed="false">
      <c r="A89" s="12" t="str">
        <f aca="false">IF(B89="","",ROW()-4)</f>
        <v/>
      </c>
      <c r="B89" s="13"/>
      <c r="C89" s="14"/>
      <c r="D89" s="14"/>
      <c r="E89" s="14"/>
      <c r="F89" s="15"/>
      <c r="G89" s="15"/>
      <c r="H89" s="15"/>
      <c r="I89" s="13"/>
      <c r="J89" s="12" t="str">
        <f aca="true">IF(B89="","",TODAY()-B89)</f>
        <v/>
      </c>
      <c r="K89" s="16" t="str">
        <f aca="true">IF(H89="","",IF(OR(H89="Enrolled",H89="Lost"),"Closed",IF(I89="","Set follow up date",IF(I89&lt;=TODAY(),"Follow up now","On track"))))</f>
        <v/>
      </c>
      <c r="L89" s="14"/>
    </row>
    <row r="90" customFormat="false" ht="15" hidden="false" customHeight="false" outlineLevel="0" collapsed="false">
      <c r="A90" s="12" t="str">
        <f aca="false">IF(B90="","",ROW()-4)</f>
        <v/>
      </c>
      <c r="B90" s="13"/>
      <c r="C90" s="14"/>
      <c r="D90" s="14"/>
      <c r="E90" s="14"/>
      <c r="F90" s="15"/>
      <c r="G90" s="15"/>
      <c r="H90" s="15"/>
      <c r="I90" s="13"/>
      <c r="J90" s="12" t="str">
        <f aca="true">IF(B90="","",TODAY()-B90)</f>
        <v/>
      </c>
      <c r="K90" s="16" t="str">
        <f aca="true">IF(H90="","",IF(OR(H90="Enrolled",H90="Lost"),"Closed",IF(I90="","Set follow up date",IF(I90&lt;=TODAY(),"Follow up now","On track"))))</f>
        <v/>
      </c>
      <c r="L90" s="14"/>
    </row>
    <row r="91" customFormat="false" ht="15" hidden="false" customHeight="false" outlineLevel="0" collapsed="false">
      <c r="A91" s="12" t="str">
        <f aca="false">IF(B91="","",ROW()-4)</f>
        <v/>
      </c>
      <c r="B91" s="13"/>
      <c r="C91" s="14"/>
      <c r="D91" s="14"/>
      <c r="E91" s="14"/>
      <c r="F91" s="15"/>
      <c r="G91" s="15"/>
      <c r="H91" s="15"/>
      <c r="I91" s="13"/>
      <c r="J91" s="12" t="str">
        <f aca="true">IF(B91="","",TODAY()-B91)</f>
        <v/>
      </c>
      <c r="K91" s="16" t="str">
        <f aca="true">IF(H91="","",IF(OR(H91="Enrolled",H91="Lost"),"Closed",IF(I91="","Set follow up date",IF(I91&lt;=TODAY(),"Follow up now","On track"))))</f>
        <v/>
      </c>
      <c r="L91" s="14"/>
    </row>
    <row r="92" customFormat="false" ht="15" hidden="false" customHeight="false" outlineLevel="0" collapsed="false">
      <c r="A92" s="12" t="str">
        <f aca="false">IF(B92="","",ROW()-4)</f>
        <v/>
      </c>
      <c r="B92" s="13"/>
      <c r="C92" s="14"/>
      <c r="D92" s="14"/>
      <c r="E92" s="14"/>
      <c r="F92" s="15"/>
      <c r="G92" s="15"/>
      <c r="H92" s="15"/>
      <c r="I92" s="13"/>
      <c r="J92" s="12" t="str">
        <f aca="true">IF(B92="","",TODAY()-B92)</f>
        <v/>
      </c>
      <c r="K92" s="16" t="str">
        <f aca="true">IF(H92="","",IF(OR(H92="Enrolled",H92="Lost"),"Closed",IF(I92="","Set follow up date",IF(I92&lt;=TODAY(),"Follow up now","On track"))))</f>
        <v/>
      </c>
      <c r="L92" s="14"/>
    </row>
    <row r="93" customFormat="false" ht="15" hidden="false" customHeight="false" outlineLevel="0" collapsed="false">
      <c r="A93" s="12" t="str">
        <f aca="false">IF(B93="","",ROW()-4)</f>
        <v/>
      </c>
      <c r="B93" s="13"/>
      <c r="C93" s="14"/>
      <c r="D93" s="14"/>
      <c r="E93" s="14"/>
      <c r="F93" s="15"/>
      <c r="G93" s="15"/>
      <c r="H93" s="15"/>
      <c r="I93" s="13"/>
      <c r="J93" s="12" t="str">
        <f aca="true">IF(B93="","",TODAY()-B93)</f>
        <v/>
      </c>
      <c r="K93" s="16" t="str">
        <f aca="true">IF(H93="","",IF(OR(H93="Enrolled",H93="Lost"),"Closed",IF(I93="","Set follow up date",IF(I93&lt;=TODAY(),"Follow up now","On track"))))</f>
        <v/>
      </c>
      <c r="L93" s="14"/>
    </row>
    <row r="94" customFormat="false" ht="15" hidden="false" customHeight="false" outlineLevel="0" collapsed="false">
      <c r="A94" s="12" t="str">
        <f aca="false">IF(B94="","",ROW()-4)</f>
        <v/>
      </c>
      <c r="B94" s="13"/>
      <c r="C94" s="14"/>
      <c r="D94" s="14"/>
      <c r="E94" s="14"/>
      <c r="F94" s="15"/>
      <c r="G94" s="15"/>
      <c r="H94" s="15"/>
      <c r="I94" s="13"/>
      <c r="J94" s="12" t="str">
        <f aca="true">IF(B94="","",TODAY()-B94)</f>
        <v/>
      </c>
      <c r="K94" s="16" t="str">
        <f aca="true">IF(H94="","",IF(OR(H94="Enrolled",H94="Lost"),"Closed",IF(I94="","Set follow up date",IF(I94&lt;=TODAY(),"Follow up now","On track"))))</f>
        <v/>
      </c>
      <c r="L94" s="14"/>
    </row>
    <row r="95" customFormat="false" ht="15" hidden="false" customHeight="false" outlineLevel="0" collapsed="false">
      <c r="A95" s="12" t="str">
        <f aca="false">IF(B95="","",ROW()-4)</f>
        <v/>
      </c>
      <c r="B95" s="13"/>
      <c r="C95" s="14"/>
      <c r="D95" s="14"/>
      <c r="E95" s="14"/>
      <c r="F95" s="15"/>
      <c r="G95" s="15"/>
      <c r="H95" s="15"/>
      <c r="I95" s="13"/>
      <c r="J95" s="12" t="str">
        <f aca="true">IF(B95="","",TODAY()-B95)</f>
        <v/>
      </c>
      <c r="K95" s="16" t="str">
        <f aca="true">IF(H95="","",IF(OR(H95="Enrolled",H95="Lost"),"Closed",IF(I95="","Set follow up date",IF(I95&lt;=TODAY(),"Follow up now","On track"))))</f>
        <v/>
      </c>
      <c r="L95" s="14"/>
    </row>
    <row r="96" customFormat="false" ht="15" hidden="false" customHeight="false" outlineLevel="0" collapsed="false">
      <c r="A96" s="12" t="str">
        <f aca="false">IF(B96="","",ROW()-4)</f>
        <v/>
      </c>
      <c r="B96" s="13"/>
      <c r="C96" s="14"/>
      <c r="D96" s="14"/>
      <c r="E96" s="14"/>
      <c r="F96" s="15"/>
      <c r="G96" s="15"/>
      <c r="H96" s="15"/>
      <c r="I96" s="13"/>
      <c r="J96" s="12" t="str">
        <f aca="true">IF(B96="","",TODAY()-B96)</f>
        <v/>
      </c>
      <c r="K96" s="16" t="str">
        <f aca="true">IF(H96="","",IF(OR(H96="Enrolled",H96="Lost"),"Closed",IF(I96="","Set follow up date",IF(I96&lt;=TODAY(),"Follow up now","On track"))))</f>
        <v/>
      </c>
      <c r="L96" s="14"/>
    </row>
    <row r="97" customFormat="false" ht="15" hidden="false" customHeight="false" outlineLevel="0" collapsed="false">
      <c r="A97" s="12" t="str">
        <f aca="false">IF(B97="","",ROW()-4)</f>
        <v/>
      </c>
      <c r="B97" s="13"/>
      <c r="C97" s="14"/>
      <c r="D97" s="14"/>
      <c r="E97" s="14"/>
      <c r="F97" s="15"/>
      <c r="G97" s="15"/>
      <c r="H97" s="15"/>
      <c r="I97" s="13"/>
      <c r="J97" s="12" t="str">
        <f aca="true">IF(B97="","",TODAY()-B97)</f>
        <v/>
      </c>
      <c r="K97" s="16" t="str">
        <f aca="true">IF(H97="","",IF(OR(H97="Enrolled",H97="Lost"),"Closed",IF(I97="","Set follow up date",IF(I97&lt;=TODAY(),"Follow up now","On track"))))</f>
        <v/>
      </c>
      <c r="L97" s="14"/>
    </row>
    <row r="98" customFormat="false" ht="15" hidden="false" customHeight="false" outlineLevel="0" collapsed="false">
      <c r="A98" s="12" t="str">
        <f aca="false">IF(B98="","",ROW()-4)</f>
        <v/>
      </c>
      <c r="B98" s="13"/>
      <c r="C98" s="14"/>
      <c r="D98" s="14"/>
      <c r="E98" s="14"/>
      <c r="F98" s="15"/>
      <c r="G98" s="15"/>
      <c r="H98" s="15"/>
      <c r="I98" s="13"/>
      <c r="J98" s="12" t="str">
        <f aca="true">IF(B98="","",TODAY()-B98)</f>
        <v/>
      </c>
      <c r="K98" s="16" t="str">
        <f aca="true">IF(H98="","",IF(OR(H98="Enrolled",H98="Lost"),"Closed",IF(I98="","Set follow up date",IF(I98&lt;=TODAY(),"Follow up now","On track"))))</f>
        <v/>
      </c>
      <c r="L98" s="14"/>
    </row>
    <row r="99" customFormat="false" ht="15" hidden="false" customHeight="false" outlineLevel="0" collapsed="false">
      <c r="A99" s="12" t="str">
        <f aca="false">IF(B99="","",ROW()-4)</f>
        <v/>
      </c>
      <c r="B99" s="13"/>
      <c r="C99" s="14"/>
      <c r="D99" s="14"/>
      <c r="E99" s="14"/>
      <c r="F99" s="15"/>
      <c r="G99" s="15"/>
      <c r="H99" s="15"/>
      <c r="I99" s="13"/>
      <c r="J99" s="12" t="str">
        <f aca="true">IF(B99="","",TODAY()-B99)</f>
        <v/>
      </c>
      <c r="K99" s="16" t="str">
        <f aca="true">IF(H99="","",IF(OR(H99="Enrolled",H99="Lost"),"Closed",IF(I99="","Set follow up date",IF(I99&lt;=TODAY(),"Follow up now","On track"))))</f>
        <v/>
      </c>
      <c r="L99" s="14"/>
    </row>
    <row r="100" customFormat="false" ht="15" hidden="false" customHeight="false" outlineLevel="0" collapsed="false">
      <c r="A100" s="12" t="str">
        <f aca="false">IF(B100="","",ROW()-4)</f>
        <v/>
      </c>
      <c r="B100" s="13"/>
      <c r="C100" s="14"/>
      <c r="D100" s="14"/>
      <c r="E100" s="14"/>
      <c r="F100" s="15"/>
      <c r="G100" s="15"/>
      <c r="H100" s="15"/>
      <c r="I100" s="13"/>
      <c r="J100" s="12" t="str">
        <f aca="true">IF(B100="","",TODAY()-B100)</f>
        <v/>
      </c>
      <c r="K100" s="16" t="str">
        <f aca="true">IF(H100="","",IF(OR(H100="Enrolled",H100="Lost"),"Closed",IF(I100="","Set follow up date",IF(I100&lt;=TODAY(),"Follow up now","On track"))))</f>
        <v/>
      </c>
      <c r="L100" s="14"/>
    </row>
    <row r="101" customFormat="false" ht="15" hidden="false" customHeight="false" outlineLevel="0" collapsed="false">
      <c r="A101" s="12" t="str">
        <f aca="false">IF(B101="","",ROW()-4)</f>
        <v/>
      </c>
      <c r="B101" s="13"/>
      <c r="C101" s="14"/>
      <c r="D101" s="14"/>
      <c r="E101" s="14"/>
      <c r="F101" s="15"/>
      <c r="G101" s="15"/>
      <c r="H101" s="15"/>
      <c r="I101" s="13"/>
      <c r="J101" s="12" t="str">
        <f aca="true">IF(B101="","",TODAY()-B101)</f>
        <v/>
      </c>
      <c r="K101" s="16" t="str">
        <f aca="true">IF(H101="","",IF(OR(H101="Enrolled",H101="Lost"),"Closed",IF(I101="","Set follow up date",IF(I101&lt;=TODAY(),"Follow up now","On track"))))</f>
        <v/>
      </c>
      <c r="L101" s="14"/>
    </row>
    <row r="102" customFormat="false" ht="15" hidden="false" customHeight="false" outlineLevel="0" collapsed="false">
      <c r="A102" s="12" t="str">
        <f aca="false">IF(B102="","",ROW()-4)</f>
        <v/>
      </c>
      <c r="B102" s="13"/>
      <c r="C102" s="14"/>
      <c r="D102" s="14"/>
      <c r="E102" s="14"/>
      <c r="F102" s="15"/>
      <c r="G102" s="15"/>
      <c r="H102" s="15"/>
      <c r="I102" s="13"/>
      <c r="J102" s="12" t="str">
        <f aca="true">IF(B102="","",TODAY()-B102)</f>
        <v/>
      </c>
      <c r="K102" s="16" t="str">
        <f aca="true">IF(H102="","",IF(OR(H102="Enrolled",H102="Lost"),"Closed",IF(I102="","Set follow up date",IF(I102&lt;=TODAY(),"Follow up now","On track"))))</f>
        <v/>
      </c>
      <c r="L102" s="14"/>
    </row>
    <row r="103" customFormat="false" ht="15" hidden="false" customHeight="false" outlineLevel="0" collapsed="false">
      <c r="A103" s="12" t="str">
        <f aca="false">IF(B103="","",ROW()-4)</f>
        <v/>
      </c>
      <c r="B103" s="13"/>
      <c r="C103" s="14"/>
      <c r="D103" s="14"/>
      <c r="E103" s="14"/>
      <c r="F103" s="15"/>
      <c r="G103" s="15"/>
      <c r="H103" s="15"/>
      <c r="I103" s="13"/>
      <c r="J103" s="12" t="str">
        <f aca="true">IF(B103="","",TODAY()-B103)</f>
        <v/>
      </c>
      <c r="K103" s="16" t="str">
        <f aca="true">IF(H103="","",IF(OR(H103="Enrolled",H103="Lost"),"Closed",IF(I103="","Set follow up date",IF(I103&lt;=TODAY(),"Follow up now","On track"))))</f>
        <v/>
      </c>
      <c r="L103" s="14"/>
    </row>
    <row r="104" customFormat="false" ht="15" hidden="false" customHeight="false" outlineLevel="0" collapsed="false">
      <c r="A104" s="12" t="str">
        <f aca="false">IF(B104="","",ROW()-4)</f>
        <v/>
      </c>
      <c r="B104" s="13"/>
      <c r="C104" s="14"/>
      <c r="D104" s="14"/>
      <c r="E104" s="14"/>
      <c r="F104" s="15"/>
      <c r="G104" s="15"/>
      <c r="H104" s="15"/>
      <c r="I104" s="13"/>
      <c r="J104" s="12" t="str">
        <f aca="true">IF(B104="","",TODAY()-B104)</f>
        <v/>
      </c>
      <c r="K104" s="16" t="str">
        <f aca="true">IF(H104="","",IF(OR(H104="Enrolled",H104="Lost"),"Closed",IF(I104="","Set follow up date",IF(I104&lt;=TODAY(),"Follow up now","On track"))))</f>
        <v/>
      </c>
      <c r="L104" s="14"/>
    </row>
    <row r="105" customFormat="false" ht="15" hidden="false" customHeight="false" outlineLevel="0" collapsed="false">
      <c r="A105" s="12" t="str">
        <f aca="false">IF(B105="","",ROW()-4)</f>
        <v/>
      </c>
      <c r="B105" s="13"/>
      <c r="C105" s="14"/>
      <c r="D105" s="14"/>
      <c r="E105" s="14"/>
      <c r="F105" s="15"/>
      <c r="G105" s="15"/>
      <c r="H105" s="15"/>
      <c r="I105" s="13"/>
      <c r="J105" s="12" t="str">
        <f aca="true">IF(B105="","",TODAY()-B105)</f>
        <v/>
      </c>
      <c r="K105" s="16" t="str">
        <f aca="true">IF(H105="","",IF(OR(H105="Enrolled",H105="Lost"),"Closed",IF(I105="","Set follow up date",IF(I105&lt;=TODAY(),"Follow up now","On track"))))</f>
        <v/>
      </c>
      <c r="L105" s="14"/>
    </row>
    <row r="106" customFormat="false" ht="15" hidden="false" customHeight="false" outlineLevel="0" collapsed="false">
      <c r="A106" s="12" t="str">
        <f aca="false">IF(B106="","",ROW()-4)</f>
        <v/>
      </c>
      <c r="B106" s="13"/>
      <c r="C106" s="14"/>
      <c r="D106" s="14"/>
      <c r="E106" s="14"/>
      <c r="F106" s="15"/>
      <c r="G106" s="15"/>
      <c r="H106" s="15"/>
      <c r="I106" s="13"/>
      <c r="J106" s="12" t="str">
        <f aca="true">IF(B106="","",TODAY()-B106)</f>
        <v/>
      </c>
      <c r="K106" s="16" t="str">
        <f aca="true">IF(H106="","",IF(OR(H106="Enrolled",H106="Lost"),"Closed",IF(I106="","Set follow up date",IF(I106&lt;=TODAY(),"Follow up now","On track"))))</f>
        <v/>
      </c>
      <c r="L106" s="14"/>
    </row>
    <row r="107" customFormat="false" ht="15" hidden="false" customHeight="false" outlineLevel="0" collapsed="false">
      <c r="A107" s="12" t="str">
        <f aca="false">IF(B107="","",ROW()-4)</f>
        <v/>
      </c>
      <c r="B107" s="13"/>
      <c r="C107" s="14"/>
      <c r="D107" s="14"/>
      <c r="E107" s="14"/>
      <c r="F107" s="15"/>
      <c r="G107" s="15"/>
      <c r="H107" s="15"/>
      <c r="I107" s="13"/>
      <c r="J107" s="12" t="str">
        <f aca="true">IF(B107="","",TODAY()-B107)</f>
        <v/>
      </c>
      <c r="K107" s="16" t="str">
        <f aca="true">IF(H107="","",IF(OR(H107="Enrolled",H107="Lost"),"Closed",IF(I107="","Set follow up date",IF(I107&lt;=TODAY(),"Follow up now","On track"))))</f>
        <v/>
      </c>
      <c r="L107" s="14"/>
    </row>
    <row r="108" customFormat="false" ht="15" hidden="false" customHeight="false" outlineLevel="0" collapsed="false">
      <c r="A108" s="12" t="str">
        <f aca="false">IF(B108="","",ROW()-4)</f>
        <v/>
      </c>
      <c r="B108" s="13"/>
      <c r="C108" s="14"/>
      <c r="D108" s="14"/>
      <c r="E108" s="14"/>
      <c r="F108" s="15"/>
      <c r="G108" s="15"/>
      <c r="H108" s="15"/>
      <c r="I108" s="13"/>
      <c r="J108" s="12" t="str">
        <f aca="true">IF(B108="","",TODAY()-B108)</f>
        <v/>
      </c>
      <c r="K108" s="16" t="str">
        <f aca="true">IF(H108="","",IF(OR(H108="Enrolled",H108="Lost"),"Closed",IF(I108="","Set follow up date",IF(I108&lt;=TODAY(),"Follow up now","On track"))))</f>
        <v/>
      </c>
      <c r="L108" s="14"/>
    </row>
    <row r="109" customFormat="false" ht="15" hidden="false" customHeight="false" outlineLevel="0" collapsed="false">
      <c r="A109" s="12" t="str">
        <f aca="false">IF(B109="","",ROW()-4)</f>
        <v/>
      </c>
      <c r="B109" s="13"/>
      <c r="C109" s="14"/>
      <c r="D109" s="14"/>
      <c r="E109" s="14"/>
      <c r="F109" s="15"/>
      <c r="G109" s="15"/>
      <c r="H109" s="15"/>
      <c r="I109" s="13"/>
      <c r="J109" s="12" t="str">
        <f aca="true">IF(B109="","",TODAY()-B109)</f>
        <v/>
      </c>
      <c r="K109" s="16" t="str">
        <f aca="true">IF(H109="","",IF(OR(H109="Enrolled",H109="Lost"),"Closed",IF(I109="","Set follow up date",IF(I109&lt;=TODAY(),"Follow up now","On track"))))</f>
        <v/>
      </c>
      <c r="L109" s="14"/>
    </row>
    <row r="110" customFormat="false" ht="15" hidden="false" customHeight="false" outlineLevel="0" collapsed="false">
      <c r="A110" s="12" t="str">
        <f aca="false">IF(B110="","",ROW()-4)</f>
        <v/>
      </c>
      <c r="B110" s="13"/>
      <c r="C110" s="14"/>
      <c r="D110" s="14"/>
      <c r="E110" s="14"/>
      <c r="F110" s="15"/>
      <c r="G110" s="15"/>
      <c r="H110" s="15"/>
      <c r="I110" s="13"/>
      <c r="J110" s="12" t="str">
        <f aca="true">IF(B110="","",TODAY()-B110)</f>
        <v/>
      </c>
      <c r="K110" s="16" t="str">
        <f aca="true">IF(H110="","",IF(OR(H110="Enrolled",H110="Lost"),"Closed",IF(I110="","Set follow up date",IF(I110&lt;=TODAY(),"Follow up now","On track"))))</f>
        <v/>
      </c>
      <c r="L110" s="14"/>
    </row>
    <row r="111" customFormat="false" ht="15" hidden="false" customHeight="false" outlineLevel="0" collapsed="false">
      <c r="A111" s="12" t="str">
        <f aca="false">IF(B111="","",ROW()-4)</f>
        <v/>
      </c>
      <c r="B111" s="13"/>
      <c r="C111" s="14"/>
      <c r="D111" s="14"/>
      <c r="E111" s="14"/>
      <c r="F111" s="15"/>
      <c r="G111" s="15"/>
      <c r="H111" s="15"/>
      <c r="I111" s="13"/>
      <c r="J111" s="12" t="str">
        <f aca="true">IF(B111="","",TODAY()-B111)</f>
        <v/>
      </c>
      <c r="K111" s="16" t="str">
        <f aca="true">IF(H111="","",IF(OR(H111="Enrolled",H111="Lost"),"Closed",IF(I111="","Set follow up date",IF(I111&lt;=TODAY(),"Follow up now","On track"))))</f>
        <v/>
      </c>
      <c r="L111" s="14"/>
    </row>
    <row r="112" customFormat="false" ht="15" hidden="false" customHeight="false" outlineLevel="0" collapsed="false">
      <c r="A112" s="12" t="str">
        <f aca="false">IF(B112="","",ROW()-4)</f>
        <v/>
      </c>
      <c r="B112" s="13"/>
      <c r="C112" s="14"/>
      <c r="D112" s="14"/>
      <c r="E112" s="14"/>
      <c r="F112" s="15"/>
      <c r="G112" s="15"/>
      <c r="H112" s="15"/>
      <c r="I112" s="13"/>
      <c r="J112" s="12" t="str">
        <f aca="true">IF(B112="","",TODAY()-B112)</f>
        <v/>
      </c>
      <c r="K112" s="16" t="str">
        <f aca="true">IF(H112="","",IF(OR(H112="Enrolled",H112="Lost"),"Closed",IF(I112="","Set follow up date",IF(I112&lt;=TODAY(),"Follow up now","On track"))))</f>
        <v/>
      </c>
      <c r="L112" s="14"/>
    </row>
    <row r="113" customFormat="false" ht="15" hidden="false" customHeight="false" outlineLevel="0" collapsed="false">
      <c r="A113" s="12" t="str">
        <f aca="false">IF(B113="","",ROW()-4)</f>
        <v/>
      </c>
      <c r="B113" s="13"/>
      <c r="C113" s="14"/>
      <c r="D113" s="14"/>
      <c r="E113" s="14"/>
      <c r="F113" s="15"/>
      <c r="G113" s="15"/>
      <c r="H113" s="15"/>
      <c r="I113" s="13"/>
      <c r="J113" s="12" t="str">
        <f aca="true">IF(B113="","",TODAY()-B113)</f>
        <v/>
      </c>
      <c r="K113" s="16" t="str">
        <f aca="true">IF(H113="","",IF(OR(H113="Enrolled",H113="Lost"),"Closed",IF(I113="","Set follow up date",IF(I113&lt;=TODAY(),"Follow up now","On track"))))</f>
        <v/>
      </c>
      <c r="L113" s="14"/>
    </row>
    <row r="114" customFormat="false" ht="15" hidden="false" customHeight="false" outlineLevel="0" collapsed="false">
      <c r="A114" s="12" t="str">
        <f aca="false">IF(B114="","",ROW()-4)</f>
        <v/>
      </c>
      <c r="B114" s="13"/>
      <c r="C114" s="14"/>
      <c r="D114" s="14"/>
      <c r="E114" s="14"/>
      <c r="F114" s="15"/>
      <c r="G114" s="15"/>
      <c r="H114" s="15"/>
      <c r="I114" s="13"/>
      <c r="J114" s="12" t="str">
        <f aca="true">IF(B114="","",TODAY()-B114)</f>
        <v/>
      </c>
      <c r="K114" s="16" t="str">
        <f aca="true">IF(H114="","",IF(OR(H114="Enrolled",H114="Lost"),"Closed",IF(I114="","Set follow up date",IF(I114&lt;=TODAY(),"Follow up now","On track"))))</f>
        <v/>
      </c>
      <c r="L114" s="14"/>
    </row>
    <row r="115" customFormat="false" ht="15" hidden="false" customHeight="false" outlineLevel="0" collapsed="false">
      <c r="A115" s="12" t="str">
        <f aca="false">IF(B115="","",ROW()-4)</f>
        <v/>
      </c>
      <c r="B115" s="13"/>
      <c r="C115" s="14"/>
      <c r="D115" s="14"/>
      <c r="E115" s="14"/>
      <c r="F115" s="15"/>
      <c r="G115" s="15"/>
      <c r="H115" s="15"/>
      <c r="I115" s="13"/>
      <c r="J115" s="12" t="str">
        <f aca="true">IF(B115="","",TODAY()-B115)</f>
        <v/>
      </c>
      <c r="K115" s="16" t="str">
        <f aca="true">IF(H115="","",IF(OR(H115="Enrolled",H115="Lost"),"Closed",IF(I115="","Set follow up date",IF(I115&lt;=TODAY(),"Follow up now","On track"))))</f>
        <v/>
      </c>
      <c r="L115" s="14"/>
    </row>
    <row r="116" customFormat="false" ht="15" hidden="false" customHeight="false" outlineLevel="0" collapsed="false">
      <c r="A116" s="12" t="str">
        <f aca="false">IF(B116="","",ROW()-4)</f>
        <v/>
      </c>
      <c r="B116" s="13"/>
      <c r="C116" s="14"/>
      <c r="D116" s="14"/>
      <c r="E116" s="14"/>
      <c r="F116" s="15"/>
      <c r="G116" s="15"/>
      <c r="H116" s="15"/>
      <c r="I116" s="13"/>
      <c r="J116" s="12" t="str">
        <f aca="true">IF(B116="","",TODAY()-B116)</f>
        <v/>
      </c>
      <c r="K116" s="16" t="str">
        <f aca="true">IF(H116="","",IF(OR(H116="Enrolled",H116="Lost"),"Closed",IF(I116="","Set follow up date",IF(I116&lt;=TODAY(),"Follow up now","On track"))))</f>
        <v/>
      </c>
      <c r="L116" s="14"/>
    </row>
    <row r="117" customFormat="false" ht="15" hidden="false" customHeight="false" outlineLevel="0" collapsed="false">
      <c r="A117" s="12" t="str">
        <f aca="false">IF(B117="","",ROW()-4)</f>
        <v/>
      </c>
      <c r="B117" s="13"/>
      <c r="C117" s="14"/>
      <c r="D117" s="14"/>
      <c r="E117" s="14"/>
      <c r="F117" s="15"/>
      <c r="G117" s="15"/>
      <c r="H117" s="15"/>
      <c r="I117" s="13"/>
      <c r="J117" s="12" t="str">
        <f aca="true">IF(B117="","",TODAY()-B117)</f>
        <v/>
      </c>
      <c r="K117" s="16" t="str">
        <f aca="true">IF(H117="","",IF(OR(H117="Enrolled",H117="Lost"),"Closed",IF(I117="","Set follow up date",IF(I117&lt;=TODAY(),"Follow up now","On track"))))</f>
        <v/>
      </c>
      <c r="L117" s="14"/>
    </row>
    <row r="118" customFormat="false" ht="15" hidden="false" customHeight="false" outlineLevel="0" collapsed="false">
      <c r="A118" s="12" t="str">
        <f aca="false">IF(B118="","",ROW()-4)</f>
        <v/>
      </c>
      <c r="B118" s="13"/>
      <c r="C118" s="14"/>
      <c r="D118" s="14"/>
      <c r="E118" s="14"/>
      <c r="F118" s="15"/>
      <c r="G118" s="15"/>
      <c r="H118" s="15"/>
      <c r="I118" s="13"/>
      <c r="J118" s="12" t="str">
        <f aca="true">IF(B118="","",TODAY()-B118)</f>
        <v/>
      </c>
      <c r="K118" s="16" t="str">
        <f aca="true">IF(H118="","",IF(OR(H118="Enrolled",H118="Lost"),"Closed",IF(I118="","Set follow up date",IF(I118&lt;=TODAY(),"Follow up now","On track"))))</f>
        <v/>
      </c>
      <c r="L118" s="14"/>
    </row>
    <row r="119" customFormat="false" ht="15" hidden="false" customHeight="false" outlineLevel="0" collapsed="false">
      <c r="A119" s="12" t="str">
        <f aca="false">IF(B119="","",ROW()-4)</f>
        <v/>
      </c>
      <c r="B119" s="13"/>
      <c r="C119" s="14"/>
      <c r="D119" s="14"/>
      <c r="E119" s="14"/>
      <c r="F119" s="15"/>
      <c r="G119" s="15"/>
      <c r="H119" s="15"/>
      <c r="I119" s="13"/>
      <c r="J119" s="12" t="str">
        <f aca="true">IF(B119="","",TODAY()-B119)</f>
        <v/>
      </c>
      <c r="K119" s="16" t="str">
        <f aca="true">IF(H119="","",IF(OR(H119="Enrolled",H119="Lost"),"Closed",IF(I119="","Set follow up date",IF(I119&lt;=TODAY(),"Follow up now","On track"))))</f>
        <v/>
      </c>
      <c r="L119" s="14"/>
    </row>
    <row r="120" customFormat="false" ht="15" hidden="false" customHeight="false" outlineLevel="0" collapsed="false">
      <c r="A120" s="12" t="str">
        <f aca="false">IF(B120="","",ROW()-4)</f>
        <v/>
      </c>
      <c r="B120" s="13"/>
      <c r="C120" s="14"/>
      <c r="D120" s="14"/>
      <c r="E120" s="14"/>
      <c r="F120" s="15"/>
      <c r="G120" s="15"/>
      <c r="H120" s="15"/>
      <c r="I120" s="13"/>
      <c r="J120" s="12" t="str">
        <f aca="true">IF(B120="","",TODAY()-B120)</f>
        <v/>
      </c>
      <c r="K120" s="16" t="str">
        <f aca="true">IF(H120="","",IF(OR(H120="Enrolled",H120="Lost"),"Closed",IF(I120="","Set follow up date",IF(I120&lt;=TODAY(),"Follow up now","On track"))))</f>
        <v/>
      </c>
      <c r="L120" s="14"/>
    </row>
    <row r="121" customFormat="false" ht="15" hidden="false" customHeight="false" outlineLevel="0" collapsed="false">
      <c r="A121" s="12" t="str">
        <f aca="false">IF(B121="","",ROW()-4)</f>
        <v/>
      </c>
      <c r="B121" s="13"/>
      <c r="C121" s="14"/>
      <c r="D121" s="14"/>
      <c r="E121" s="14"/>
      <c r="F121" s="15"/>
      <c r="G121" s="15"/>
      <c r="H121" s="15"/>
      <c r="I121" s="13"/>
      <c r="J121" s="12" t="str">
        <f aca="true">IF(B121="","",TODAY()-B121)</f>
        <v/>
      </c>
      <c r="K121" s="16" t="str">
        <f aca="true">IF(H121="","",IF(OR(H121="Enrolled",H121="Lost"),"Closed",IF(I121="","Set follow up date",IF(I121&lt;=TODAY(),"Follow up now","On track"))))</f>
        <v/>
      </c>
      <c r="L121" s="14"/>
    </row>
    <row r="122" customFormat="false" ht="15" hidden="false" customHeight="false" outlineLevel="0" collapsed="false">
      <c r="A122" s="12" t="str">
        <f aca="false">IF(B122="","",ROW()-4)</f>
        <v/>
      </c>
      <c r="B122" s="13"/>
      <c r="C122" s="14"/>
      <c r="D122" s="14"/>
      <c r="E122" s="14"/>
      <c r="F122" s="15"/>
      <c r="G122" s="15"/>
      <c r="H122" s="15"/>
      <c r="I122" s="13"/>
      <c r="J122" s="12" t="str">
        <f aca="true">IF(B122="","",TODAY()-B122)</f>
        <v/>
      </c>
      <c r="K122" s="16" t="str">
        <f aca="true">IF(H122="","",IF(OR(H122="Enrolled",H122="Lost"),"Closed",IF(I122="","Set follow up date",IF(I122&lt;=TODAY(),"Follow up now","On track"))))</f>
        <v/>
      </c>
      <c r="L122" s="14"/>
    </row>
    <row r="123" customFormat="false" ht="15" hidden="false" customHeight="false" outlineLevel="0" collapsed="false">
      <c r="A123" s="12" t="str">
        <f aca="false">IF(B123="","",ROW()-4)</f>
        <v/>
      </c>
      <c r="B123" s="13"/>
      <c r="C123" s="14"/>
      <c r="D123" s="14"/>
      <c r="E123" s="14"/>
      <c r="F123" s="15"/>
      <c r="G123" s="15"/>
      <c r="H123" s="15"/>
      <c r="I123" s="13"/>
      <c r="J123" s="12" t="str">
        <f aca="true">IF(B123="","",TODAY()-B123)</f>
        <v/>
      </c>
      <c r="K123" s="16" t="str">
        <f aca="true">IF(H123="","",IF(OR(H123="Enrolled",H123="Lost"),"Closed",IF(I123="","Set follow up date",IF(I123&lt;=TODAY(),"Follow up now","On track"))))</f>
        <v/>
      </c>
      <c r="L123" s="14"/>
    </row>
    <row r="124" customFormat="false" ht="15" hidden="false" customHeight="false" outlineLevel="0" collapsed="false">
      <c r="A124" s="12" t="str">
        <f aca="false">IF(B124="","",ROW()-4)</f>
        <v/>
      </c>
      <c r="B124" s="13"/>
      <c r="C124" s="14"/>
      <c r="D124" s="14"/>
      <c r="E124" s="14"/>
      <c r="F124" s="15"/>
      <c r="G124" s="15"/>
      <c r="H124" s="15"/>
      <c r="I124" s="13"/>
      <c r="J124" s="12" t="str">
        <f aca="true">IF(B124="","",TODAY()-B124)</f>
        <v/>
      </c>
      <c r="K124" s="16" t="str">
        <f aca="true">IF(H124="","",IF(OR(H124="Enrolled",H124="Lost"),"Closed",IF(I124="","Set follow up date",IF(I124&lt;=TODAY(),"Follow up now","On track"))))</f>
        <v/>
      </c>
      <c r="L124" s="14"/>
    </row>
    <row r="125" customFormat="false" ht="15" hidden="false" customHeight="false" outlineLevel="0" collapsed="false">
      <c r="A125" s="12" t="str">
        <f aca="false">IF(B125="","",ROW()-4)</f>
        <v/>
      </c>
      <c r="B125" s="13"/>
      <c r="C125" s="14"/>
      <c r="D125" s="14"/>
      <c r="E125" s="14"/>
      <c r="F125" s="15"/>
      <c r="G125" s="15"/>
      <c r="H125" s="15"/>
      <c r="I125" s="13"/>
      <c r="J125" s="12" t="str">
        <f aca="true">IF(B125="","",TODAY()-B125)</f>
        <v/>
      </c>
      <c r="K125" s="16" t="str">
        <f aca="true">IF(H125="","",IF(OR(H125="Enrolled",H125="Lost"),"Closed",IF(I125="","Set follow up date",IF(I125&lt;=TODAY(),"Follow up now","On track"))))</f>
        <v/>
      </c>
      <c r="L125" s="14"/>
    </row>
    <row r="126" customFormat="false" ht="15" hidden="false" customHeight="false" outlineLevel="0" collapsed="false">
      <c r="A126" s="12" t="str">
        <f aca="false">IF(B126="","",ROW()-4)</f>
        <v/>
      </c>
      <c r="B126" s="13"/>
      <c r="C126" s="14"/>
      <c r="D126" s="14"/>
      <c r="E126" s="14"/>
      <c r="F126" s="15"/>
      <c r="G126" s="15"/>
      <c r="H126" s="15"/>
      <c r="I126" s="13"/>
      <c r="J126" s="12" t="str">
        <f aca="true">IF(B126="","",TODAY()-B126)</f>
        <v/>
      </c>
      <c r="K126" s="16" t="str">
        <f aca="true">IF(H126="","",IF(OR(H126="Enrolled",H126="Lost"),"Closed",IF(I126="","Set follow up date",IF(I126&lt;=TODAY(),"Follow up now","On track"))))</f>
        <v/>
      </c>
      <c r="L126" s="14"/>
    </row>
    <row r="127" customFormat="false" ht="15" hidden="false" customHeight="false" outlineLevel="0" collapsed="false">
      <c r="A127" s="12" t="str">
        <f aca="false">IF(B127="","",ROW()-4)</f>
        <v/>
      </c>
      <c r="B127" s="13"/>
      <c r="C127" s="14"/>
      <c r="D127" s="14"/>
      <c r="E127" s="14"/>
      <c r="F127" s="15"/>
      <c r="G127" s="15"/>
      <c r="H127" s="15"/>
      <c r="I127" s="13"/>
      <c r="J127" s="12" t="str">
        <f aca="true">IF(B127="","",TODAY()-B127)</f>
        <v/>
      </c>
      <c r="K127" s="16" t="str">
        <f aca="true">IF(H127="","",IF(OR(H127="Enrolled",H127="Lost"),"Closed",IF(I127="","Set follow up date",IF(I127&lt;=TODAY(),"Follow up now","On track"))))</f>
        <v/>
      </c>
      <c r="L127" s="14"/>
    </row>
    <row r="128" customFormat="false" ht="15" hidden="false" customHeight="false" outlineLevel="0" collapsed="false">
      <c r="A128" s="12" t="str">
        <f aca="false">IF(B128="","",ROW()-4)</f>
        <v/>
      </c>
      <c r="B128" s="13"/>
      <c r="C128" s="14"/>
      <c r="D128" s="14"/>
      <c r="E128" s="14"/>
      <c r="F128" s="15"/>
      <c r="G128" s="15"/>
      <c r="H128" s="15"/>
      <c r="I128" s="13"/>
      <c r="J128" s="12" t="str">
        <f aca="true">IF(B128="","",TODAY()-B128)</f>
        <v/>
      </c>
      <c r="K128" s="16" t="str">
        <f aca="true">IF(H128="","",IF(OR(H128="Enrolled",H128="Lost"),"Closed",IF(I128="","Set follow up date",IF(I128&lt;=TODAY(),"Follow up now","On track"))))</f>
        <v/>
      </c>
      <c r="L128" s="14"/>
    </row>
    <row r="129" customFormat="false" ht="15" hidden="false" customHeight="false" outlineLevel="0" collapsed="false">
      <c r="A129" s="12" t="str">
        <f aca="false">IF(B129="","",ROW()-4)</f>
        <v/>
      </c>
      <c r="B129" s="13"/>
      <c r="C129" s="14"/>
      <c r="D129" s="14"/>
      <c r="E129" s="14"/>
      <c r="F129" s="15"/>
      <c r="G129" s="15"/>
      <c r="H129" s="15"/>
      <c r="I129" s="13"/>
      <c r="J129" s="12" t="str">
        <f aca="true">IF(B129="","",TODAY()-B129)</f>
        <v/>
      </c>
      <c r="K129" s="16" t="str">
        <f aca="true">IF(H129="","",IF(OR(H129="Enrolled",H129="Lost"),"Closed",IF(I129="","Set follow up date",IF(I129&lt;=TODAY(),"Follow up now","On track"))))</f>
        <v/>
      </c>
      <c r="L129" s="14"/>
    </row>
    <row r="130" customFormat="false" ht="15" hidden="false" customHeight="false" outlineLevel="0" collapsed="false">
      <c r="A130" s="12" t="str">
        <f aca="false">IF(B130="","",ROW()-4)</f>
        <v/>
      </c>
      <c r="B130" s="13"/>
      <c r="C130" s="14"/>
      <c r="D130" s="14"/>
      <c r="E130" s="14"/>
      <c r="F130" s="15"/>
      <c r="G130" s="15"/>
      <c r="H130" s="15"/>
      <c r="I130" s="13"/>
      <c r="J130" s="12" t="str">
        <f aca="true">IF(B130="","",TODAY()-B130)</f>
        <v/>
      </c>
      <c r="K130" s="16" t="str">
        <f aca="true">IF(H130="","",IF(OR(H130="Enrolled",H130="Lost"),"Closed",IF(I130="","Set follow up date",IF(I130&lt;=TODAY(),"Follow up now","On track"))))</f>
        <v/>
      </c>
      <c r="L130" s="14"/>
    </row>
    <row r="131" customFormat="false" ht="15" hidden="false" customHeight="false" outlineLevel="0" collapsed="false">
      <c r="A131" s="12" t="str">
        <f aca="false">IF(B131="","",ROW()-4)</f>
        <v/>
      </c>
      <c r="B131" s="13"/>
      <c r="C131" s="14"/>
      <c r="D131" s="14"/>
      <c r="E131" s="14"/>
      <c r="F131" s="15"/>
      <c r="G131" s="15"/>
      <c r="H131" s="15"/>
      <c r="I131" s="13"/>
      <c r="J131" s="12" t="str">
        <f aca="true">IF(B131="","",TODAY()-B131)</f>
        <v/>
      </c>
      <c r="K131" s="16" t="str">
        <f aca="true">IF(H131="","",IF(OR(H131="Enrolled",H131="Lost"),"Closed",IF(I131="","Set follow up date",IF(I131&lt;=TODAY(),"Follow up now","On track"))))</f>
        <v/>
      </c>
      <c r="L131" s="14"/>
    </row>
    <row r="132" customFormat="false" ht="15" hidden="false" customHeight="false" outlineLevel="0" collapsed="false">
      <c r="A132" s="12" t="str">
        <f aca="false">IF(B132="","",ROW()-4)</f>
        <v/>
      </c>
      <c r="B132" s="13"/>
      <c r="C132" s="14"/>
      <c r="D132" s="14"/>
      <c r="E132" s="14"/>
      <c r="F132" s="15"/>
      <c r="G132" s="15"/>
      <c r="H132" s="15"/>
      <c r="I132" s="13"/>
      <c r="J132" s="12" t="str">
        <f aca="true">IF(B132="","",TODAY()-B132)</f>
        <v/>
      </c>
      <c r="K132" s="16" t="str">
        <f aca="true">IF(H132="","",IF(OR(H132="Enrolled",H132="Lost"),"Closed",IF(I132="","Set follow up date",IF(I132&lt;=TODAY(),"Follow up now","On track"))))</f>
        <v/>
      </c>
      <c r="L132" s="14"/>
    </row>
    <row r="133" customFormat="false" ht="15" hidden="false" customHeight="false" outlineLevel="0" collapsed="false">
      <c r="A133" s="12" t="str">
        <f aca="false">IF(B133="","",ROW()-4)</f>
        <v/>
      </c>
      <c r="B133" s="13"/>
      <c r="C133" s="14"/>
      <c r="D133" s="14"/>
      <c r="E133" s="14"/>
      <c r="F133" s="15"/>
      <c r="G133" s="15"/>
      <c r="H133" s="15"/>
      <c r="I133" s="13"/>
      <c r="J133" s="12" t="str">
        <f aca="true">IF(B133="","",TODAY()-B133)</f>
        <v/>
      </c>
      <c r="K133" s="16" t="str">
        <f aca="true">IF(H133="","",IF(OR(H133="Enrolled",H133="Lost"),"Closed",IF(I133="","Set follow up date",IF(I133&lt;=TODAY(),"Follow up now","On track"))))</f>
        <v/>
      </c>
      <c r="L133" s="14"/>
    </row>
    <row r="134" customFormat="false" ht="15" hidden="false" customHeight="false" outlineLevel="0" collapsed="false">
      <c r="A134" s="12" t="str">
        <f aca="false">IF(B134="","",ROW()-4)</f>
        <v/>
      </c>
      <c r="B134" s="13"/>
      <c r="C134" s="14"/>
      <c r="D134" s="14"/>
      <c r="E134" s="14"/>
      <c r="F134" s="15"/>
      <c r="G134" s="15"/>
      <c r="H134" s="15"/>
      <c r="I134" s="13"/>
      <c r="J134" s="12" t="str">
        <f aca="true">IF(B134="","",TODAY()-B134)</f>
        <v/>
      </c>
      <c r="K134" s="16" t="str">
        <f aca="true">IF(H134="","",IF(OR(H134="Enrolled",H134="Lost"),"Closed",IF(I134="","Set follow up date",IF(I134&lt;=TODAY(),"Follow up now","On track"))))</f>
        <v/>
      </c>
      <c r="L134" s="14"/>
    </row>
    <row r="135" customFormat="false" ht="15" hidden="false" customHeight="false" outlineLevel="0" collapsed="false">
      <c r="A135" s="12" t="str">
        <f aca="false">IF(B135="","",ROW()-4)</f>
        <v/>
      </c>
      <c r="B135" s="13"/>
      <c r="C135" s="14"/>
      <c r="D135" s="14"/>
      <c r="E135" s="14"/>
      <c r="F135" s="15"/>
      <c r="G135" s="15"/>
      <c r="H135" s="15"/>
      <c r="I135" s="13"/>
      <c r="J135" s="12" t="str">
        <f aca="true">IF(B135="","",TODAY()-B135)</f>
        <v/>
      </c>
      <c r="K135" s="16" t="str">
        <f aca="true">IF(H135="","",IF(OR(H135="Enrolled",H135="Lost"),"Closed",IF(I135="","Set follow up date",IF(I135&lt;=TODAY(),"Follow up now","On track"))))</f>
        <v/>
      </c>
      <c r="L135" s="14"/>
    </row>
    <row r="136" customFormat="false" ht="15" hidden="false" customHeight="false" outlineLevel="0" collapsed="false">
      <c r="A136" s="12" t="str">
        <f aca="false">IF(B136="","",ROW()-4)</f>
        <v/>
      </c>
      <c r="B136" s="13"/>
      <c r="C136" s="14"/>
      <c r="D136" s="14"/>
      <c r="E136" s="14"/>
      <c r="F136" s="15"/>
      <c r="G136" s="15"/>
      <c r="H136" s="15"/>
      <c r="I136" s="13"/>
      <c r="J136" s="12" t="str">
        <f aca="true">IF(B136="","",TODAY()-B136)</f>
        <v/>
      </c>
      <c r="K136" s="16" t="str">
        <f aca="true">IF(H136="","",IF(OR(H136="Enrolled",H136="Lost"),"Closed",IF(I136="","Set follow up date",IF(I136&lt;=TODAY(),"Follow up now","On track"))))</f>
        <v/>
      </c>
      <c r="L136" s="14"/>
    </row>
    <row r="137" customFormat="false" ht="15" hidden="false" customHeight="false" outlineLevel="0" collapsed="false">
      <c r="A137" s="12" t="str">
        <f aca="false">IF(B137="","",ROW()-4)</f>
        <v/>
      </c>
      <c r="B137" s="13"/>
      <c r="C137" s="14"/>
      <c r="D137" s="14"/>
      <c r="E137" s="14"/>
      <c r="F137" s="15"/>
      <c r="G137" s="15"/>
      <c r="H137" s="15"/>
      <c r="I137" s="13"/>
      <c r="J137" s="12" t="str">
        <f aca="true">IF(B137="","",TODAY()-B137)</f>
        <v/>
      </c>
      <c r="K137" s="16" t="str">
        <f aca="true">IF(H137="","",IF(OR(H137="Enrolled",H137="Lost"),"Closed",IF(I137="","Set follow up date",IF(I137&lt;=TODAY(),"Follow up now","On track"))))</f>
        <v/>
      </c>
      <c r="L137" s="14"/>
    </row>
    <row r="138" customFormat="false" ht="15" hidden="false" customHeight="false" outlineLevel="0" collapsed="false">
      <c r="A138" s="12" t="str">
        <f aca="false">IF(B138="","",ROW()-4)</f>
        <v/>
      </c>
      <c r="B138" s="13"/>
      <c r="C138" s="14"/>
      <c r="D138" s="14"/>
      <c r="E138" s="14"/>
      <c r="F138" s="15"/>
      <c r="G138" s="15"/>
      <c r="H138" s="15"/>
      <c r="I138" s="13"/>
      <c r="J138" s="12" t="str">
        <f aca="true">IF(B138="","",TODAY()-B138)</f>
        <v/>
      </c>
      <c r="K138" s="16" t="str">
        <f aca="true">IF(H138="","",IF(OR(H138="Enrolled",H138="Lost"),"Closed",IF(I138="","Set follow up date",IF(I138&lt;=TODAY(),"Follow up now","On track"))))</f>
        <v/>
      </c>
      <c r="L138" s="14"/>
    </row>
    <row r="139" customFormat="false" ht="15" hidden="false" customHeight="false" outlineLevel="0" collapsed="false">
      <c r="A139" s="12" t="str">
        <f aca="false">IF(B139="","",ROW()-4)</f>
        <v/>
      </c>
      <c r="B139" s="13"/>
      <c r="C139" s="14"/>
      <c r="D139" s="14"/>
      <c r="E139" s="14"/>
      <c r="F139" s="15"/>
      <c r="G139" s="15"/>
      <c r="H139" s="15"/>
      <c r="I139" s="13"/>
      <c r="J139" s="12" t="str">
        <f aca="true">IF(B139="","",TODAY()-B139)</f>
        <v/>
      </c>
      <c r="K139" s="16" t="str">
        <f aca="true">IF(H139="","",IF(OR(H139="Enrolled",H139="Lost"),"Closed",IF(I139="","Set follow up date",IF(I139&lt;=TODAY(),"Follow up now","On track"))))</f>
        <v/>
      </c>
      <c r="L139" s="14"/>
    </row>
    <row r="140" customFormat="false" ht="15" hidden="false" customHeight="false" outlineLevel="0" collapsed="false">
      <c r="A140" s="12" t="str">
        <f aca="false">IF(B140="","",ROW()-4)</f>
        <v/>
      </c>
      <c r="B140" s="13"/>
      <c r="C140" s="14"/>
      <c r="D140" s="14"/>
      <c r="E140" s="14"/>
      <c r="F140" s="15"/>
      <c r="G140" s="15"/>
      <c r="H140" s="15"/>
      <c r="I140" s="13"/>
      <c r="J140" s="12" t="str">
        <f aca="true">IF(B140="","",TODAY()-B140)</f>
        <v/>
      </c>
      <c r="K140" s="16" t="str">
        <f aca="true">IF(H140="","",IF(OR(H140="Enrolled",H140="Lost"),"Closed",IF(I140="","Set follow up date",IF(I140&lt;=TODAY(),"Follow up now","On track"))))</f>
        <v/>
      </c>
      <c r="L140" s="14"/>
    </row>
    <row r="141" customFormat="false" ht="15" hidden="false" customHeight="false" outlineLevel="0" collapsed="false">
      <c r="A141" s="12" t="str">
        <f aca="false">IF(B141="","",ROW()-4)</f>
        <v/>
      </c>
      <c r="B141" s="13"/>
      <c r="C141" s="14"/>
      <c r="D141" s="14"/>
      <c r="E141" s="14"/>
      <c r="F141" s="15"/>
      <c r="G141" s="15"/>
      <c r="H141" s="15"/>
      <c r="I141" s="13"/>
      <c r="J141" s="12" t="str">
        <f aca="true">IF(B141="","",TODAY()-B141)</f>
        <v/>
      </c>
      <c r="K141" s="16" t="str">
        <f aca="true">IF(H141="","",IF(OR(H141="Enrolled",H141="Lost"),"Closed",IF(I141="","Set follow up date",IF(I141&lt;=TODAY(),"Follow up now","On track"))))</f>
        <v/>
      </c>
      <c r="L141" s="14"/>
    </row>
    <row r="142" customFormat="false" ht="15" hidden="false" customHeight="false" outlineLevel="0" collapsed="false">
      <c r="A142" s="12" t="str">
        <f aca="false">IF(B142="","",ROW()-4)</f>
        <v/>
      </c>
      <c r="B142" s="13"/>
      <c r="C142" s="14"/>
      <c r="D142" s="14"/>
      <c r="E142" s="14"/>
      <c r="F142" s="15"/>
      <c r="G142" s="15"/>
      <c r="H142" s="15"/>
      <c r="I142" s="13"/>
      <c r="J142" s="12" t="str">
        <f aca="true">IF(B142="","",TODAY()-B142)</f>
        <v/>
      </c>
      <c r="K142" s="16" t="str">
        <f aca="true">IF(H142="","",IF(OR(H142="Enrolled",H142="Lost"),"Closed",IF(I142="","Set follow up date",IF(I142&lt;=TODAY(),"Follow up now","On track"))))</f>
        <v/>
      </c>
      <c r="L142" s="14"/>
    </row>
    <row r="143" customFormat="false" ht="15" hidden="false" customHeight="false" outlineLevel="0" collapsed="false">
      <c r="A143" s="12" t="str">
        <f aca="false">IF(B143="","",ROW()-4)</f>
        <v/>
      </c>
      <c r="B143" s="13"/>
      <c r="C143" s="14"/>
      <c r="D143" s="14"/>
      <c r="E143" s="14"/>
      <c r="F143" s="15"/>
      <c r="G143" s="15"/>
      <c r="H143" s="15"/>
      <c r="I143" s="13"/>
      <c r="J143" s="12" t="str">
        <f aca="true">IF(B143="","",TODAY()-B143)</f>
        <v/>
      </c>
      <c r="K143" s="16" t="str">
        <f aca="true">IF(H143="","",IF(OR(H143="Enrolled",H143="Lost"),"Closed",IF(I143="","Set follow up date",IF(I143&lt;=TODAY(),"Follow up now","On track"))))</f>
        <v/>
      </c>
      <c r="L143" s="14"/>
    </row>
    <row r="144" customFormat="false" ht="15" hidden="false" customHeight="false" outlineLevel="0" collapsed="false">
      <c r="A144" s="12" t="str">
        <f aca="false">IF(B144="","",ROW()-4)</f>
        <v/>
      </c>
      <c r="B144" s="13"/>
      <c r="C144" s="14"/>
      <c r="D144" s="14"/>
      <c r="E144" s="14"/>
      <c r="F144" s="15"/>
      <c r="G144" s="15"/>
      <c r="H144" s="15"/>
      <c r="I144" s="13"/>
      <c r="J144" s="12" t="str">
        <f aca="true">IF(B144="","",TODAY()-B144)</f>
        <v/>
      </c>
      <c r="K144" s="16" t="str">
        <f aca="true">IF(H144="","",IF(OR(H144="Enrolled",H144="Lost"),"Closed",IF(I144="","Set follow up date",IF(I144&lt;=TODAY(),"Follow up now","On track"))))</f>
        <v/>
      </c>
      <c r="L144" s="14"/>
    </row>
    <row r="145" customFormat="false" ht="15" hidden="false" customHeight="false" outlineLevel="0" collapsed="false">
      <c r="A145" s="12" t="str">
        <f aca="false">IF(B145="","",ROW()-4)</f>
        <v/>
      </c>
      <c r="B145" s="13"/>
      <c r="C145" s="14"/>
      <c r="D145" s="14"/>
      <c r="E145" s="14"/>
      <c r="F145" s="15"/>
      <c r="G145" s="15"/>
      <c r="H145" s="15"/>
      <c r="I145" s="13"/>
      <c r="J145" s="12" t="str">
        <f aca="true">IF(B145="","",TODAY()-B145)</f>
        <v/>
      </c>
      <c r="K145" s="16" t="str">
        <f aca="true">IF(H145="","",IF(OR(H145="Enrolled",H145="Lost"),"Closed",IF(I145="","Set follow up date",IF(I145&lt;=TODAY(),"Follow up now","On track"))))</f>
        <v/>
      </c>
      <c r="L145" s="14"/>
    </row>
    <row r="146" customFormat="false" ht="15" hidden="false" customHeight="false" outlineLevel="0" collapsed="false">
      <c r="A146" s="12" t="str">
        <f aca="false">IF(B146="","",ROW()-4)</f>
        <v/>
      </c>
      <c r="B146" s="13"/>
      <c r="C146" s="14"/>
      <c r="D146" s="14"/>
      <c r="E146" s="14"/>
      <c r="F146" s="15"/>
      <c r="G146" s="15"/>
      <c r="H146" s="15"/>
      <c r="I146" s="13"/>
      <c r="J146" s="12" t="str">
        <f aca="true">IF(B146="","",TODAY()-B146)</f>
        <v/>
      </c>
      <c r="K146" s="16" t="str">
        <f aca="true">IF(H146="","",IF(OR(H146="Enrolled",H146="Lost"),"Closed",IF(I146="","Set follow up date",IF(I146&lt;=TODAY(),"Follow up now","On track"))))</f>
        <v/>
      </c>
      <c r="L146" s="14"/>
    </row>
    <row r="147" customFormat="false" ht="15" hidden="false" customHeight="false" outlineLevel="0" collapsed="false">
      <c r="A147" s="12" t="str">
        <f aca="false">IF(B147="","",ROW()-4)</f>
        <v/>
      </c>
      <c r="B147" s="13"/>
      <c r="C147" s="14"/>
      <c r="D147" s="14"/>
      <c r="E147" s="14"/>
      <c r="F147" s="15"/>
      <c r="G147" s="15"/>
      <c r="H147" s="15"/>
      <c r="I147" s="13"/>
      <c r="J147" s="12" t="str">
        <f aca="true">IF(B147="","",TODAY()-B147)</f>
        <v/>
      </c>
      <c r="K147" s="16" t="str">
        <f aca="true">IF(H147="","",IF(OR(H147="Enrolled",H147="Lost"),"Closed",IF(I147="","Set follow up date",IF(I147&lt;=TODAY(),"Follow up now","On track"))))</f>
        <v/>
      </c>
      <c r="L147" s="14"/>
    </row>
    <row r="148" customFormat="false" ht="15" hidden="false" customHeight="false" outlineLevel="0" collapsed="false">
      <c r="A148" s="12" t="str">
        <f aca="false">IF(B148="","",ROW()-4)</f>
        <v/>
      </c>
      <c r="B148" s="13"/>
      <c r="C148" s="14"/>
      <c r="D148" s="14"/>
      <c r="E148" s="14"/>
      <c r="F148" s="15"/>
      <c r="G148" s="15"/>
      <c r="H148" s="15"/>
      <c r="I148" s="13"/>
      <c r="J148" s="12" t="str">
        <f aca="true">IF(B148="","",TODAY()-B148)</f>
        <v/>
      </c>
      <c r="K148" s="16" t="str">
        <f aca="true">IF(H148="","",IF(OR(H148="Enrolled",H148="Lost"),"Closed",IF(I148="","Set follow up date",IF(I148&lt;=TODAY(),"Follow up now","On track"))))</f>
        <v/>
      </c>
      <c r="L148" s="14"/>
    </row>
    <row r="149" customFormat="false" ht="15" hidden="false" customHeight="false" outlineLevel="0" collapsed="false">
      <c r="A149" s="12" t="str">
        <f aca="false">IF(B149="","",ROW()-4)</f>
        <v/>
      </c>
      <c r="B149" s="13"/>
      <c r="C149" s="14"/>
      <c r="D149" s="14"/>
      <c r="E149" s="14"/>
      <c r="F149" s="15"/>
      <c r="G149" s="15"/>
      <c r="H149" s="15"/>
      <c r="I149" s="13"/>
      <c r="J149" s="12" t="str">
        <f aca="true">IF(B149="","",TODAY()-B149)</f>
        <v/>
      </c>
      <c r="K149" s="16" t="str">
        <f aca="true">IF(H149="","",IF(OR(H149="Enrolled",H149="Lost"),"Closed",IF(I149="","Set follow up date",IF(I149&lt;=TODAY(),"Follow up now","On track"))))</f>
        <v/>
      </c>
      <c r="L149" s="14"/>
    </row>
    <row r="150" customFormat="false" ht="15" hidden="false" customHeight="false" outlineLevel="0" collapsed="false">
      <c r="A150" s="12" t="str">
        <f aca="false">IF(B150="","",ROW()-4)</f>
        <v/>
      </c>
      <c r="B150" s="13"/>
      <c r="C150" s="14"/>
      <c r="D150" s="14"/>
      <c r="E150" s="14"/>
      <c r="F150" s="15"/>
      <c r="G150" s="15"/>
      <c r="H150" s="15"/>
      <c r="I150" s="13"/>
      <c r="J150" s="12" t="str">
        <f aca="true">IF(B150="","",TODAY()-B150)</f>
        <v/>
      </c>
      <c r="K150" s="16" t="str">
        <f aca="true">IF(H150="","",IF(OR(H150="Enrolled",H150="Lost"),"Closed",IF(I150="","Set follow up date",IF(I150&lt;=TODAY(),"Follow up now","On track"))))</f>
        <v/>
      </c>
      <c r="L150" s="14"/>
    </row>
    <row r="151" customFormat="false" ht="15" hidden="false" customHeight="false" outlineLevel="0" collapsed="false">
      <c r="A151" s="12" t="str">
        <f aca="false">IF(B151="","",ROW()-4)</f>
        <v/>
      </c>
      <c r="B151" s="13"/>
      <c r="C151" s="14"/>
      <c r="D151" s="14"/>
      <c r="E151" s="14"/>
      <c r="F151" s="15"/>
      <c r="G151" s="15"/>
      <c r="H151" s="15"/>
      <c r="I151" s="13"/>
      <c r="J151" s="12" t="str">
        <f aca="true">IF(B151="","",TODAY()-B151)</f>
        <v/>
      </c>
      <c r="K151" s="16" t="str">
        <f aca="true">IF(H151="","",IF(OR(H151="Enrolled",H151="Lost"),"Closed",IF(I151="","Set follow up date",IF(I151&lt;=TODAY(),"Follow up now","On track"))))</f>
        <v/>
      </c>
      <c r="L151" s="14"/>
    </row>
    <row r="152" customFormat="false" ht="15" hidden="false" customHeight="false" outlineLevel="0" collapsed="false">
      <c r="A152" s="12" t="str">
        <f aca="false">IF(B152="","",ROW()-4)</f>
        <v/>
      </c>
      <c r="B152" s="13"/>
      <c r="C152" s="14"/>
      <c r="D152" s="14"/>
      <c r="E152" s="14"/>
      <c r="F152" s="15"/>
      <c r="G152" s="15"/>
      <c r="H152" s="15"/>
      <c r="I152" s="13"/>
      <c r="J152" s="12" t="str">
        <f aca="true">IF(B152="","",TODAY()-B152)</f>
        <v/>
      </c>
      <c r="K152" s="16" t="str">
        <f aca="true">IF(H152="","",IF(OR(H152="Enrolled",H152="Lost"),"Closed",IF(I152="","Set follow up date",IF(I152&lt;=TODAY(),"Follow up now","On track"))))</f>
        <v/>
      </c>
      <c r="L152" s="14"/>
    </row>
    <row r="153" customFormat="false" ht="15" hidden="false" customHeight="false" outlineLevel="0" collapsed="false">
      <c r="A153" s="12" t="str">
        <f aca="false">IF(B153="","",ROW()-4)</f>
        <v/>
      </c>
      <c r="B153" s="13"/>
      <c r="C153" s="14"/>
      <c r="D153" s="14"/>
      <c r="E153" s="14"/>
      <c r="F153" s="15"/>
      <c r="G153" s="15"/>
      <c r="H153" s="15"/>
      <c r="I153" s="13"/>
      <c r="J153" s="12" t="str">
        <f aca="true">IF(B153="","",TODAY()-B153)</f>
        <v/>
      </c>
      <c r="K153" s="16" t="str">
        <f aca="true">IF(H153="","",IF(OR(H153="Enrolled",H153="Lost"),"Closed",IF(I153="","Set follow up date",IF(I153&lt;=TODAY(),"Follow up now","On track"))))</f>
        <v/>
      </c>
      <c r="L153" s="14"/>
    </row>
    <row r="154" customFormat="false" ht="15" hidden="false" customHeight="false" outlineLevel="0" collapsed="false">
      <c r="A154" s="12" t="str">
        <f aca="false">IF(B154="","",ROW()-4)</f>
        <v/>
      </c>
      <c r="B154" s="13"/>
      <c r="C154" s="14"/>
      <c r="D154" s="14"/>
      <c r="E154" s="14"/>
      <c r="F154" s="15"/>
      <c r="G154" s="15"/>
      <c r="H154" s="15"/>
      <c r="I154" s="13"/>
      <c r="J154" s="12" t="str">
        <f aca="true">IF(B154="","",TODAY()-B154)</f>
        <v/>
      </c>
      <c r="K154" s="16" t="str">
        <f aca="true">IF(H154="","",IF(OR(H154="Enrolled",H154="Lost"),"Closed",IF(I154="","Set follow up date",IF(I154&lt;=TODAY(),"Follow up now","On track"))))</f>
        <v/>
      </c>
      <c r="L154" s="14"/>
    </row>
    <row r="155" customFormat="false" ht="15" hidden="false" customHeight="false" outlineLevel="0" collapsed="false">
      <c r="A155" s="12" t="str">
        <f aca="false">IF(B155="","",ROW()-4)</f>
        <v/>
      </c>
      <c r="B155" s="13"/>
      <c r="C155" s="14"/>
      <c r="D155" s="14"/>
      <c r="E155" s="14"/>
      <c r="F155" s="15"/>
      <c r="G155" s="15"/>
      <c r="H155" s="15"/>
      <c r="I155" s="13"/>
      <c r="J155" s="12" t="str">
        <f aca="true">IF(B155="","",TODAY()-B155)</f>
        <v/>
      </c>
      <c r="K155" s="16" t="str">
        <f aca="true">IF(H155="","",IF(OR(H155="Enrolled",H155="Lost"),"Closed",IF(I155="","Set follow up date",IF(I155&lt;=TODAY(),"Follow up now","On track"))))</f>
        <v/>
      </c>
      <c r="L155" s="14"/>
    </row>
    <row r="156" customFormat="false" ht="15" hidden="false" customHeight="false" outlineLevel="0" collapsed="false">
      <c r="A156" s="12" t="str">
        <f aca="false">IF(B156="","",ROW()-4)</f>
        <v/>
      </c>
      <c r="B156" s="13"/>
      <c r="C156" s="14"/>
      <c r="D156" s="14"/>
      <c r="E156" s="14"/>
      <c r="F156" s="15"/>
      <c r="G156" s="15"/>
      <c r="H156" s="15"/>
      <c r="I156" s="13"/>
      <c r="J156" s="12" t="str">
        <f aca="true">IF(B156="","",TODAY()-B156)</f>
        <v/>
      </c>
      <c r="K156" s="16" t="str">
        <f aca="true">IF(H156="","",IF(OR(H156="Enrolled",H156="Lost"),"Closed",IF(I156="","Set follow up date",IF(I156&lt;=TODAY(),"Follow up now","On track"))))</f>
        <v/>
      </c>
      <c r="L156" s="14"/>
    </row>
    <row r="157" customFormat="false" ht="15" hidden="false" customHeight="false" outlineLevel="0" collapsed="false">
      <c r="A157" s="12" t="str">
        <f aca="false">IF(B157="","",ROW()-4)</f>
        <v/>
      </c>
      <c r="B157" s="13"/>
      <c r="C157" s="14"/>
      <c r="D157" s="14"/>
      <c r="E157" s="14"/>
      <c r="F157" s="15"/>
      <c r="G157" s="15"/>
      <c r="H157" s="15"/>
      <c r="I157" s="13"/>
      <c r="J157" s="12" t="str">
        <f aca="true">IF(B157="","",TODAY()-B157)</f>
        <v/>
      </c>
      <c r="K157" s="16" t="str">
        <f aca="true">IF(H157="","",IF(OR(H157="Enrolled",H157="Lost"),"Closed",IF(I157="","Set follow up date",IF(I157&lt;=TODAY(),"Follow up now","On track"))))</f>
        <v/>
      </c>
      <c r="L157" s="14"/>
    </row>
    <row r="158" customFormat="false" ht="15" hidden="false" customHeight="false" outlineLevel="0" collapsed="false">
      <c r="A158" s="12" t="str">
        <f aca="false">IF(B158="","",ROW()-4)</f>
        <v/>
      </c>
      <c r="B158" s="13"/>
      <c r="C158" s="14"/>
      <c r="D158" s="14"/>
      <c r="E158" s="14"/>
      <c r="F158" s="15"/>
      <c r="G158" s="15"/>
      <c r="H158" s="15"/>
      <c r="I158" s="13"/>
      <c r="J158" s="12" t="str">
        <f aca="true">IF(B158="","",TODAY()-B158)</f>
        <v/>
      </c>
      <c r="K158" s="16" t="str">
        <f aca="true">IF(H158="","",IF(OR(H158="Enrolled",H158="Lost"),"Closed",IF(I158="","Set follow up date",IF(I158&lt;=TODAY(),"Follow up now","On track"))))</f>
        <v/>
      </c>
      <c r="L158" s="14"/>
    </row>
    <row r="159" customFormat="false" ht="15" hidden="false" customHeight="false" outlineLevel="0" collapsed="false">
      <c r="A159" s="12" t="str">
        <f aca="false">IF(B159="","",ROW()-4)</f>
        <v/>
      </c>
      <c r="B159" s="13"/>
      <c r="C159" s="14"/>
      <c r="D159" s="14"/>
      <c r="E159" s="14"/>
      <c r="F159" s="15"/>
      <c r="G159" s="15"/>
      <c r="H159" s="15"/>
      <c r="I159" s="13"/>
      <c r="J159" s="12" t="str">
        <f aca="true">IF(B159="","",TODAY()-B159)</f>
        <v/>
      </c>
      <c r="K159" s="16" t="str">
        <f aca="true">IF(H159="","",IF(OR(H159="Enrolled",H159="Lost"),"Closed",IF(I159="","Set follow up date",IF(I159&lt;=TODAY(),"Follow up now","On track"))))</f>
        <v/>
      </c>
      <c r="L159" s="14"/>
    </row>
    <row r="160" customFormat="false" ht="15" hidden="false" customHeight="false" outlineLevel="0" collapsed="false">
      <c r="A160" s="12" t="str">
        <f aca="false">IF(B160="","",ROW()-4)</f>
        <v/>
      </c>
      <c r="B160" s="13"/>
      <c r="C160" s="14"/>
      <c r="D160" s="14"/>
      <c r="E160" s="14"/>
      <c r="F160" s="15"/>
      <c r="G160" s="15"/>
      <c r="H160" s="15"/>
      <c r="I160" s="13"/>
      <c r="J160" s="12" t="str">
        <f aca="true">IF(B160="","",TODAY()-B160)</f>
        <v/>
      </c>
      <c r="K160" s="16" t="str">
        <f aca="true">IF(H160="","",IF(OR(H160="Enrolled",H160="Lost"),"Closed",IF(I160="","Set follow up date",IF(I160&lt;=TODAY(),"Follow up now","On track"))))</f>
        <v/>
      </c>
      <c r="L160" s="14"/>
    </row>
    <row r="161" customFormat="false" ht="15" hidden="false" customHeight="false" outlineLevel="0" collapsed="false">
      <c r="A161" s="12" t="str">
        <f aca="false">IF(B161="","",ROW()-4)</f>
        <v/>
      </c>
      <c r="B161" s="13"/>
      <c r="C161" s="14"/>
      <c r="D161" s="14"/>
      <c r="E161" s="14"/>
      <c r="F161" s="15"/>
      <c r="G161" s="15"/>
      <c r="H161" s="15"/>
      <c r="I161" s="13"/>
      <c r="J161" s="12" t="str">
        <f aca="true">IF(B161="","",TODAY()-B161)</f>
        <v/>
      </c>
      <c r="K161" s="16" t="str">
        <f aca="true">IF(H161="","",IF(OR(H161="Enrolled",H161="Lost"),"Closed",IF(I161="","Set follow up date",IF(I161&lt;=TODAY(),"Follow up now","On track"))))</f>
        <v/>
      </c>
      <c r="L161" s="14"/>
    </row>
    <row r="162" customFormat="false" ht="15" hidden="false" customHeight="false" outlineLevel="0" collapsed="false">
      <c r="A162" s="12" t="str">
        <f aca="false">IF(B162="","",ROW()-4)</f>
        <v/>
      </c>
      <c r="B162" s="13"/>
      <c r="C162" s="14"/>
      <c r="D162" s="14"/>
      <c r="E162" s="14"/>
      <c r="F162" s="15"/>
      <c r="G162" s="15"/>
      <c r="H162" s="15"/>
      <c r="I162" s="13"/>
      <c r="J162" s="12" t="str">
        <f aca="true">IF(B162="","",TODAY()-B162)</f>
        <v/>
      </c>
      <c r="K162" s="16" t="str">
        <f aca="true">IF(H162="","",IF(OR(H162="Enrolled",H162="Lost"),"Closed",IF(I162="","Set follow up date",IF(I162&lt;=TODAY(),"Follow up now","On track"))))</f>
        <v/>
      </c>
      <c r="L162" s="14"/>
    </row>
    <row r="163" customFormat="false" ht="15" hidden="false" customHeight="false" outlineLevel="0" collapsed="false">
      <c r="A163" s="12" t="str">
        <f aca="false">IF(B163="","",ROW()-4)</f>
        <v/>
      </c>
      <c r="B163" s="13"/>
      <c r="C163" s="14"/>
      <c r="D163" s="14"/>
      <c r="E163" s="14"/>
      <c r="F163" s="15"/>
      <c r="G163" s="15"/>
      <c r="H163" s="15"/>
      <c r="I163" s="13"/>
      <c r="J163" s="12" t="str">
        <f aca="true">IF(B163="","",TODAY()-B163)</f>
        <v/>
      </c>
      <c r="K163" s="16" t="str">
        <f aca="true">IF(H163="","",IF(OR(H163="Enrolled",H163="Lost"),"Closed",IF(I163="","Set follow up date",IF(I163&lt;=TODAY(),"Follow up now","On track"))))</f>
        <v/>
      </c>
      <c r="L163" s="14"/>
    </row>
    <row r="164" customFormat="false" ht="15" hidden="false" customHeight="false" outlineLevel="0" collapsed="false">
      <c r="A164" s="12" t="str">
        <f aca="false">IF(B164="","",ROW()-4)</f>
        <v/>
      </c>
      <c r="B164" s="13"/>
      <c r="C164" s="14"/>
      <c r="D164" s="14"/>
      <c r="E164" s="14"/>
      <c r="F164" s="15"/>
      <c r="G164" s="15"/>
      <c r="H164" s="15"/>
      <c r="I164" s="13"/>
      <c r="J164" s="12" t="str">
        <f aca="true">IF(B164="","",TODAY()-B164)</f>
        <v/>
      </c>
      <c r="K164" s="16" t="str">
        <f aca="true">IF(H164="","",IF(OR(H164="Enrolled",H164="Lost"),"Closed",IF(I164="","Set follow up date",IF(I164&lt;=TODAY(),"Follow up now","On track"))))</f>
        <v/>
      </c>
      <c r="L164" s="14"/>
    </row>
    <row r="165" customFormat="false" ht="15" hidden="false" customHeight="false" outlineLevel="0" collapsed="false">
      <c r="A165" s="12" t="str">
        <f aca="false">IF(B165="","",ROW()-4)</f>
        <v/>
      </c>
      <c r="B165" s="13"/>
      <c r="C165" s="14"/>
      <c r="D165" s="14"/>
      <c r="E165" s="14"/>
      <c r="F165" s="15"/>
      <c r="G165" s="15"/>
      <c r="H165" s="15"/>
      <c r="I165" s="13"/>
      <c r="J165" s="12" t="str">
        <f aca="true">IF(B165="","",TODAY()-B165)</f>
        <v/>
      </c>
      <c r="K165" s="16" t="str">
        <f aca="true">IF(H165="","",IF(OR(H165="Enrolled",H165="Lost"),"Closed",IF(I165="","Set follow up date",IF(I165&lt;=TODAY(),"Follow up now","On track"))))</f>
        <v/>
      </c>
      <c r="L165" s="14"/>
    </row>
    <row r="166" customFormat="false" ht="15" hidden="false" customHeight="false" outlineLevel="0" collapsed="false">
      <c r="A166" s="12" t="str">
        <f aca="false">IF(B166="","",ROW()-4)</f>
        <v/>
      </c>
      <c r="B166" s="13"/>
      <c r="C166" s="14"/>
      <c r="D166" s="14"/>
      <c r="E166" s="14"/>
      <c r="F166" s="15"/>
      <c r="G166" s="15"/>
      <c r="H166" s="15"/>
      <c r="I166" s="13"/>
      <c r="J166" s="12" t="str">
        <f aca="true">IF(B166="","",TODAY()-B166)</f>
        <v/>
      </c>
      <c r="K166" s="16" t="str">
        <f aca="true">IF(H166="","",IF(OR(H166="Enrolled",H166="Lost"),"Closed",IF(I166="","Set follow up date",IF(I166&lt;=TODAY(),"Follow up now","On track"))))</f>
        <v/>
      </c>
      <c r="L166" s="14"/>
    </row>
    <row r="167" customFormat="false" ht="15" hidden="false" customHeight="false" outlineLevel="0" collapsed="false">
      <c r="A167" s="12" t="str">
        <f aca="false">IF(B167="","",ROW()-4)</f>
        <v/>
      </c>
      <c r="B167" s="13"/>
      <c r="C167" s="14"/>
      <c r="D167" s="14"/>
      <c r="E167" s="14"/>
      <c r="F167" s="15"/>
      <c r="G167" s="15"/>
      <c r="H167" s="15"/>
      <c r="I167" s="13"/>
      <c r="J167" s="12" t="str">
        <f aca="true">IF(B167="","",TODAY()-B167)</f>
        <v/>
      </c>
      <c r="K167" s="16" t="str">
        <f aca="true">IF(H167="","",IF(OR(H167="Enrolled",H167="Lost"),"Closed",IF(I167="","Set follow up date",IF(I167&lt;=TODAY(),"Follow up now","On track"))))</f>
        <v/>
      </c>
      <c r="L167" s="14"/>
    </row>
    <row r="168" customFormat="false" ht="15" hidden="false" customHeight="false" outlineLevel="0" collapsed="false">
      <c r="A168" s="12" t="str">
        <f aca="false">IF(B168="","",ROW()-4)</f>
        <v/>
      </c>
      <c r="B168" s="13"/>
      <c r="C168" s="14"/>
      <c r="D168" s="14"/>
      <c r="E168" s="14"/>
      <c r="F168" s="15"/>
      <c r="G168" s="15"/>
      <c r="H168" s="15"/>
      <c r="I168" s="13"/>
      <c r="J168" s="12" t="str">
        <f aca="true">IF(B168="","",TODAY()-B168)</f>
        <v/>
      </c>
      <c r="K168" s="16" t="str">
        <f aca="true">IF(H168="","",IF(OR(H168="Enrolled",H168="Lost"),"Closed",IF(I168="","Set follow up date",IF(I168&lt;=TODAY(),"Follow up now","On track"))))</f>
        <v/>
      </c>
      <c r="L168" s="14"/>
    </row>
    <row r="169" customFormat="false" ht="15" hidden="false" customHeight="false" outlineLevel="0" collapsed="false">
      <c r="A169" s="12" t="str">
        <f aca="false">IF(B169="","",ROW()-4)</f>
        <v/>
      </c>
      <c r="B169" s="13"/>
      <c r="C169" s="14"/>
      <c r="D169" s="14"/>
      <c r="E169" s="14"/>
      <c r="F169" s="15"/>
      <c r="G169" s="15"/>
      <c r="H169" s="15"/>
      <c r="I169" s="13"/>
      <c r="J169" s="12" t="str">
        <f aca="true">IF(B169="","",TODAY()-B169)</f>
        <v/>
      </c>
      <c r="K169" s="16" t="str">
        <f aca="true">IF(H169="","",IF(OR(H169="Enrolled",H169="Lost"),"Closed",IF(I169="","Set follow up date",IF(I169&lt;=TODAY(),"Follow up now","On track"))))</f>
        <v/>
      </c>
      <c r="L169" s="14"/>
    </row>
    <row r="170" customFormat="false" ht="15" hidden="false" customHeight="false" outlineLevel="0" collapsed="false">
      <c r="A170" s="12" t="str">
        <f aca="false">IF(B170="","",ROW()-4)</f>
        <v/>
      </c>
      <c r="B170" s="13"/>
      <c r="C170" s="14"/>
      <c r="D170" s="14"/>
      <c r="E170" s="14"/>
      <c r="F170" s="15"/>
      <c r="G170" s="15"/>
      <c r="H170" s="15"/>
      <c r="I170" s="13"/>
      <c r="J170" s="12" t="str">
        <f aca="true">IF(B170="","",TODAY()-B170)</f>
        <v/>
      </c>
      <c r="K170" s="16" t="str">
        <f aca="true">IF(H170="","",IF(OR(H170="Enrolled",H170="Lost"),"Closed",IF(I170="","Set follow up date",IF(I170&lt;=TODAY(),"Follow up now","On track"))))</f>
        <v/>
      </c>
      <c r="L170" s="14"/>
    </row>
    <row r="171" customFormat="false" ht="15" hidden="false" customHeight="false" outlineLevel="0" collapsed="false">
      <c r="A171" s="12" t="str">
        <f aca="false">IF(B171="","",ROW()-4)</f>
        <v/>
      </c>
      <c r="B171" s="13"/>
      <c r="C171" s="14"/>
      <c r="D171" s="14"/>
      <c r="E171" s="14"/>
      <c r="F171" s="15"/>
      <c r="G171" s="15"/>
      <c r="H171" s="15"/>
      <c r="I171" s="13"/>
      <c r="J171" s="12" t="str">
        <f aca="true">IF(B171="","",TODAY()-B171)</f>
        <v/>
      </c>
      <c r="K171" s="16" t="str">
        <f aca="true">IF(H171="","",IF(OR(H171="Enrolled",H171="Lost"),"Closed",IF(I171="","Set follow up date",IF(I171&lt;=TODAY(),"Follow up now","On track"))))</f>
        <v/>
      </c>
      <c r="L171" s="14"/>
    </row>
    <row r="172" customFormat="false" ht="15" hidden="false" customHeight="false" outlineLevel="0" collapsed="false">
      <c r="A172" s="12" t="str">
        <f aca="false">IF(B172="","",ROW()-4)</f>
        <v/>
      </c>
      <c r="B172" s="13"/>
      <c r="C172" s="14"/>
      <c r="D172" s="14"/>
      <c r="E172" s="14"/>
      <c r="F172" s="15"/>
      <c r="G172" s="15"/>
      <c r="H172" s="15"/>
      <c r="I172" s="13"/>
      <c r="J172" s="12" t="str">
        <f aca="true">IF(B172="","",TODAY()-B172)</f>
        <v/>
      </c>
      <c r="K172" s="16" t="str">
        <f aca="true">IF(H172="","",IF(OR(H172="Enrolled",H172="Lost"),"Closed",IF(I172="","Set follow up date",IF(I172&lt;=TODAY(),"Follow up now","On track"))))</f>
        <v/>
      </c>
      <c r="L172" s="14"/>
    </row>
    <row r="173" customFormat="false" ht="15" hidden="false" customHeight="false" outlineLevel="0" collapsed="false">
      <c r="A173" s="12" t="str">
        <f aca="false">IF(B173="","",ROW()-4)</f>
        <v/>
      </c>
      <c r="B173" s="13"/>
      <c r="C173" s="14"/>
      <c r="D173" s="14"/>
      <c r="E173" s="14"/>
      <c r="F173" s="15"/>
      <c r="G173" s="15"/>
      <c r="H173" s="15"/>
      <c r="I173" s="13"/>
      <c r="J173" s="12" t="str">
        <f aca="true">IF(B173="","",TODAY()-B173)</f>
        <v/>
      </c>
      <c r="K173" s="16" t="str">
        <f aca="true">IF(H173="","",IF(OR(H173="Enrolled",H173="Lost"),"Closed",IF(I173="","Set follow up date",IF(I173&lt;=TODAY(),"Follow up now","On track"))))</f>
        <v/>
      </c>
      <c r="L173" s="14"/>
    </row>
    <row r="174" customFormat="false" ht="15" hidden="false" customHeight="false" outlineLevel="0" collapsed="false">
      <c r="A174" s="12" t="str">
        <f aca="false">IF(B174="","",ROW()-4)</f>
        <v/>
      </c>
      <c r="B174" s="13"/>
      <c r="C174" s="14"/>
      <c r="D174" s="14"/>
      <c r="E174" s="14"/>
      <c r="F174" s="15"/>
      <c r="G174" s="15"/>
      <c r="H174" s="15"/>
      <c r="I174" s="13"/>
      <c r="J174" s="12" t="str">
        <f aca="true">IF(B174="","",TODAY()-B174)</f>
        <v/>
      </c>
      <c r="K174" s="16" t="str">
        <f aca="true">IF(H174="","",IF(OR(H174="Enrolled",H174="Lost"),"Closed",IF(I174="","Set follow up date",IF(I174&lt;=TODAY(),"Follow up now","On track"))))</f>
        <v/>
      </c>
      <c r="L174" s="14"/>
    </row>
    <row r="175" customFormat="false" ht="15" hidden="false" customHeight="false" outlineLevel="0" collapsed="false">
      <c r="A175" s="12" t="str">
        <f aca="false">IF(B175="","",ROW()-4)</f>
        <v/>
      </c>
      <c r="B175" s="13"/>
      <c r="C175" s="14"/>
      <c r="D175" s="14"/>
      <c r="E175" s="14"/>
      <c r="F175" s="15"/>
      <c r="G175" s="15"/>
      <c r="H175" s="15"/>
      <c r="I175" s="13"/>
      <c r="J175" s="12" t="str">
        <f aca="true">IF(B175="","",TODAY()-B175)</f>
        <v/>
      </c>
      <c r="K175" s="16" t="str">
        <f aca="true">IF(H175="","",IF(OR(H175="Enrolled",H175="Lost"),"Closed",IF(I175="","Set follow up date",IF(I175&lt;=TODAY(),"Follow up now","On track"))))</f>
        <v/>
      </c>
      <c r="L175" s="14"/>
    </row>
    <row r="176" customFormat="false" ht="15" hidden="false" customHeight="false" outlineLevel="0" collapsed="false">
      <c r="A176" s="12" t="str">
        <f aca="false">IF(B176="","",ROW()-4)</f>
        <v/>
      </c>
      <c r="B176" s="13"/>
      <c r="C176" s="14"/>
      <c r="D176" s="14"/>
      <c r="E176" s="14"/>
      <c r="F176" s="15"/>
      <c r="G176" s="15"/>
      <c r="H176" s="15"/>
      <c r="I176" s="13"/>
      <c r="J176" s="12" t="str">
        <f aca="true">IF(B176="","",TODAY()-B176)</f>
        <v/>
      </c>
      <c r="K176" s="16" t="str">
        <f aca="true">IF(H176="","",IF(OR(H176="Enrolled",H176="Lost"),"Closed",IF(I176="","Set follow up date",IF(I176&lt;=TODAY(),"Follow up now","On track"))))</f>
        <v/>
      </c>
      <c r="L176" s="14"/>
    </row>
    <row r="177" customFormat="false" ht="15" hidden="false" customHeight="false" outlineLevel="0" collapsed="false">
      <c r="A177" s="12" t="str">
        <f aca="false">IF(B177="","",ROW()-4)</f>
        <v/>
      </c>
      <c r="B177" s="13"/>
      <c r="C177" s="14"/>
      <c r="D177" s="14"/>
      <c r="E177" s="14"/>
      <c r="F177" s="15"/>
      <c r="G177" s="15"/>
      <c r="H177" s="15"/>
      <c r="I177" s="13"/>
      <c r="J177" s="12" t="str">
        <f aca="true">IF(B177="","",TODAY()-B177)</f>
        <v/>
      </c>
      <c r="K177" s="16" t="str">
        <f aca="true">IF(H177="","",IF(OR(H177="Enrolled",H177="Lost"),"Closed",IF(I177="","Set follow up date",IF(I177&lt;=TODAY(),"Follow up now","On track"))))</f>
        <v/>
      </c>
      <c r="L177" s="14"/>
    </row>
    <row r="178" customFormat="false" ht="15" hidden="false" customHeight="false" outlineLevel="0" collapsed="false">
      <c r="A178" s="12" t="str">
        <f aca="false">IF(B178="","",ROW()-4)</f>
        <v/>
      </c>
      <c r="B178" s="13"/>
      <c r="C178" s="14"/>
      <c r="D178" s="14"/>
      <c r="E178" s="14"/>
      <c r="F178" s="15"/>
      <c r="G178" s="15"/>
      <c r="H178" s="15"/>
      <c r="I178" s="13"/>
      <c r="J178" s="12" t="str">
        <f aca="true">IF(B178="","",TODAY()-B178)</f>
        <v/>
      </c>
      <c r="K178" s="16" t="str">
        <f aca="true">IF(H178="","",IF(OR(H178="Enrolled",H178="Lost"),"Closed",IF(I178="","Set follow up date",IF(I178&lt;=TODAY(),"Follow up now","On track"))))</f>
        <v/>
      </c>
      <c r="L178" s="14"/>
    </row>
    <row r="179" customFormat="false" ht="15" hidden="false" customHeight="false" outlineLevel="0" collapsed="false">
      <c r="A179" s="12" t="str">
        <f aca="false">IF(B179="","",ROW()-4)</f>
        <v/>
      </c>
      <c r="B179" s="13"/>
      <c r="C179" s="14"/>
      <c r="D179" s="14"/>
      <c r="E179" s="14"/>
      <c r="F179" s="15"/>
      <c r="G179" s="15"/>
      <c r="H179" s="15"/>
      <c r="I179" s="13"/>
      <c r="J179" s="12" t="str">
        <f aca="true">IF(B179="","",TODAY()-B179)</f>
        <v/>
      </c>
      <c r="K179" s="16" t="str">
        <f aca="true">IF(H179="","",IF(OR(H179="Enrolled",H179="Lost"),"Closed",IF(I179="","Set follow up date",IF(I179&lt;=TODAY(),"Follow up now","On track"))))</f>
        <v/>
      </c>
      <c r="L179" s="14"/>
    </row>
    <row r="180" customFormat="false" ht="15" hidden="false" customHeight="false" outlineLevel="0" collapsed="false">
      <c r="A180" s="12" t="str">
        <f aca="false">IF(B180="","",ROW()-4)</f>
        <v/>
      </c>
      <c r="B180" s="13"/>
      <c r="C180" s="14"/>
      <c r="D180" s="14"/>
      <c r="E180" s="14"/>
      <c r="F180" s="15"/>
      <c r="G180" s="15"/>
      <c r="H180" s="15"/>
      <c r="I180" s="13"/>
      <c r="J180" s="12" t="str">
        <f aca="true">IF(B180="","",TODAY()-B180)</f>
        <v/>
      </c>
      <c r="K180" s="16" t="str">
        <f aca="true">IF(H180="","",IF(OR(H180="Enrolled",H180="Lost"),"Closed",IF(I180="","Set follow up date",IF(I180&lt;=TODAY(),"Follow up now","On track"))))</f>
        <v/>
      </c>
      <c r="L180" s="14"/>
    </row>
    <row r="181" customFormat="false" ht="15" hidden="false" customHeight="false" outlineLevel="0" collapsed="false">
      <c r="A181" s="12" t="str">
        <f aca="false">IF(B181="","",ROW()-4)</f>
        <v/>
      </c>
      <c r="B181" s="13"/>
      <c r="C181" s="14"/>
      <c r="D181" s="14"/>
      <c r="E181" s="14"/>
      <c r="F181" s="15"/>
      <c r="G181" s="15"/>
      <c r="H181" s="15"/>
      <c r="I181" s="13"/>
      <c r="J181" s="12" t="str">
        <f aca="true">IF(B181="","",TODAY()-B181)</f>
        <v/>
      </c>
      <c r="K181" s="16" t="str">
        <f aca="true">IF(H181="","",IF(OR(H181="Enrolled",H181="Lost"),"Closed",IF(I181="","Set follow up date",IF(I181&lt;=TODAY(),"Follow up now","On track"))))</f>
        <v/>
      </c>
      <c r="L181" s="14"/>
    </row>
    <row r="182" customFormat="false" ht="15" hidden="false" customHeight="false" outlineLevel="0" collapsed="false">
      <c r="A182" s="12" t="str">
        <f aca="false">IF(B182="","",ROW()-4)</f>
        <v/>
      </c>
      <c r="B182" s="13"/>
      <c r="C182" s="14"/>
      <c r="D182" s="14"/>
      <c r="E182" s="14"/>
      <c r="F182" s="15"/>
      <c r="G182" s="15"/>
      <c r="H182" s="15"/>
      <c r="I182" s="13"/>
      <c r="J182" s="12" t="str">
        <f aca="true">IF(B182="","",TODAY()-B182)</f>
        <v/>
      </c>
      <c r="K182" s="16" t="str">
        <f aca="true">IF(H182="","",IF(OR(H182="Enrolled",H182="Lost"),"Closed",IF(I182="","Set follow up date",IF(I182&lt;=TODAY(),"Follow up now","On track"))))</f>
        <v/>
      </c>
      <c r="L182" s="14"/>
    </row>
    <row r="183" customFormat="false" ht="15" hidden="false" customHeight="false" outlineLevel="0" collapsed="false">
      <c r="A183" s="12" t="str">
        <f aca="false">IF(B183="","",ROW()-4)</f>
        <v/>
      </c>
      <c r="B183" s="13"/>
      <c r="C183" s="14"/>
      <c r="D183" s="14"/>
      <c r="E183" s="14"/>
      <c r="F183" s="15"/>
      <c r="G183" s="15"/>
      <c r="H183" s="15"/>
      <c r="I183" s="13"/>
      <c r="J183" s="12" t="str">
        <f aca="true">IF(B183="","",TODAY()-B183)</f>
        <v/>
      </c>
      <c r="K183" s="16" t="str">
        <f aca="true">IF(H183="","",IF(OR(H183="Enrolled",H183="Lost"),"Closed",IF(I183="","Set follow up date",IF(I183&lt;=TODAY(),"Follow up now","On track"))))</f>
        <v/>
      </c>
      <c r="L183" s="14"/>
    </row>
    <row r="184" customFormat="false" ht="15" hidden="false" customHeight="false" outlineLevel="0" collapsed="false">
      <c r="A184" s="12" t="str">
        <f aca="false">IF(B184="","",ROW()-4)</f>
        <v/>
      </c>
      <c r="B184" s="13"/>
      <c r="C184" s="14"/>
      <c r="D184" s="14"/>
      <c r="E184" s="14"/>
      <c r="F184" s="15"/>
      <c r="G184" s="15"/>
      <c r="H184" s="15"/>
      <c r="I184" s="13"/>
      <c r="J184" s="12" t="str">
        <f aca="true">IF(B184="","",TODAY()-B184)</f>
        <v/>
      </c>
      <c r="K184" s="16" t="str">
        <f aca="true">IF(H184="","",IF(OR(H184="Enrolled",H184="Lost"),"Closed",IF(I184="","Set follow up date",IF(I184&lt;=TODAY(),"Follow up now","On track"))))</f>
        <v/>
      </c>
      <c r="L184" s="14"/>
    </row>
    <row r="185" customFormat="false" ht="15" hidden="false" customHeight="false" outlineLevel="0" collapsed="false">
      <c r="A185" s="12" t="str">
        <f aca="false">IF(B185="","",ROW()-4)</f>
        <v/>
      </c>
      <c r="B185" s="13"/>
      <c r="C185" s="14"/>
      <c r="D185" s="14"/>
      <c r="E185" s="14"/>
      <c r="F185" s="15"/>
      <c r="G185" s="15"/>
      <c r="H185" s="15"/>
      <c r="I185" s="13"/>
      <c r="J185" s="12" t="str">
        <f aca="true">IF(B185="","",TODAY()-B185)</f>
        <v/>
      </c>
      <c r="K185" s="16" t="str">
        <f aca="true">IF(H185="","",IF(OR(H185="Enrolled",H185="Lost"),"Closed",IF(I185="","Set follow up date",IF(I185&lt;=TODAY(),"Follow up now","On track"))))</f>
        <v/>
      </c>
      <c r="L185" s="14"/>
    </row>
    <row r="186" customFormat="false" ht="15" hidden="false" customHeight="false" outlineLevel="0" collapsed="false">
      <c r="A186" s="12" t="str">
        <f aca="false">IF(B186="","",ROW()-4)</f>
        <v/>
      </c>
      <c r="B186" s="13"/>
      <c r="C186" s="14"/>
      <c r="D186" s="14"/>
      <c r="E186" s="14"/>
      <c r="F186" s="15"/>
      <c r="G186" s="15"/>
      <c r="H186" s="15"/>
      <c r="I186" s="13"/>
      <c r="J186" s="12" t="str">
        <f aca="true">IF(B186="","",TODAY()-B186)</f>
        <v/>
      </c>
      <c r="K186" s="16" t="str">
        <f aca="true">IF(H186="","",IF(OR(H186="Enrolled",H186="Lost"),"Closed",IF(I186="","Set follow up date",IF(I186&lt;=TODAY(),"Follow up now","On track"))))</f>
        <v/>
      </c>
      <c r="L186" s="14"/>
    </row>
    <row r="187" customFormat="false" ht="15" hidden="false" customHeight="false" outlineLevel="0" collapsed="false">
      <c r="A187" s="12" t="str">
        <f aca="false">IF(B187="","",ROW()-4)</f>
        <v/>
      </c>
      <c r="B187" s="13"/>
      <c r="C187" s="14"/>
      <c r="D187" s="14"/>
      <c r="E187" s="14"/>
      <c r="F187" s="15"/>
      <c r="G187" s="15"/>
      <c r="H187" s="15"/>
      <c r="I187" s="13"/>
      <c r="J187" s="12" t="str">
        <f aca="true">IF(B187="","",TODAY()-B187)</f>
        <v/>
      </c>
      <c r="K187" s="16" t="str">
        <f aca="true">IF(H187="","",IF(OR(H187="Enrolled",H187="Lost"),"Closed",IF(I187="","Set follow up date",IF(I187&lt;=TODAY(),"Follow up now","On track"))))</f>
        <v/>
      </c>
      <c r="L187" s="14"/>
    </row>
    <row r="188" customFormat="false" ht="15" hidden="false" customHeight="false" outlineLevel="0" collapsed="false">
      <c r="A188" s="12" t="str">
        <f aca="false">IF(B188="","",ROW()-4)</f>
        <v/>
      </c>
      <c r="B188" s="13"/>
      <c r="C188" s="14"/>
      <c r="D188" s="14"/>
      <c r="E188" s="14"/>
      <c r="F188" s="15"/>
      <c r="G188" s="15"/>
      <c r="H188" s="15"/>
      <c r="I188" s="13"/>
      <c r="J188" s="12" t="str">
        <f aca="true">IF(B188="","",TODAY()-B188)</f>
        <v/>
      </c>
      <c r="K188" s="16" t="str">
        <f aca="true">IF(H188="","",IF(OR(H188="Enrolled",H188="Lost"),"Closed",IF(I188="","Set follow up date",IF(I188&lt;=TODAY(),"Follow up now","On track"))))</f>
        <v/>
      </c>
      <c r="L188" s="14"/>
    </row>
    <row r="189" customFormat="false" ht="15" hidden="false" customHeight="false" outlineLevel="0" collapsed="false">
      <c r="A189" s="12" t="str">
        <f aca="false">IF(B189="","",ROW()-4)</f>
        <v/>
      </c>
      <c r="B189" s="13"/>
      <c r="C189" s="14"/>
      <c r="D189" s="14"/>
      <c r="E189" s="14"/>
      <c r="F189" s="15"/>
      <c r="G189" s="15"/>
      <c r="H189" s="15"/>
      <c r="I189" s="13"/>
      <c r="J189" s="12" t="str">
        <f aca="true">IF(B189="","",TODAY()-B189)</f>
        <v/>
      </c>
      <c r="K189" s="16" t="str">
        <f aca="true">IF(H189="","",IF(OR(H189="Enrolled",H189="Lost"),"Closed",IF(I189="","Set follow up date",IF(I189&lt;=TODAY(),"Follow up now","On track"))))</f>
        <v/>
      </c>
      <c r="L189" s="14"/>
    </row>
    <row r="190" customFormat="false" ht="15" hidden="false" customHeight="false" outlineLevel="0" collapsed="false">
      <c r="A190" s="12" t="str">
        <f aca="false">IF(B190="","",ROW()-4)</f>
        <v/>
      </c>
      <c r="B190" s="13"/>
      <c r="C190" s="14"/>
      <c r="D190" s="14"/>
      <c r="E190" s="14"/>
      <c r="F190" s="15"/>
      <c r="G190" s="15"/>
      <c r="H190" s="15"/>
      <c r="I190" s="13"/>
      <c r="J190" s="12" t="str">
        <f aca="true">IF(B190="","",TODAY()-B190)</f>
        <v/>
      </c>
      <c r="K190" s="16" t="str">
        <f aca="true">IF(H190="","",IF(OR(H190="Enrolled",H190="Lost"),"Closed",IF(I190="","Set follow up date",IF(I190&lt;=TODAY(),"Follow up now","On track"))))</f>
        <v/>
      </c>
      <c r="L190" s="14"/>
    </row>
    <row r="191" customFormat="false" ht="15" hidden="false" customHeight="false" outlineLevel="0" collapsed="false">
      <c r="A191" s="12" t="str">
        <f aca="false">IF(B191="","",ROW()-4)</f>
        <v/>
      </c>
      <c r="B191" s="13"/>
      <c r="C191" s="14"/>
      <c r="D191" s="14"/>
      <c r="E191" s="14"/>
      <c r="F191" s="15"/>
      <c r="G191" s="15"/>
      <c r="H191" s="15"/>
      <c r="I191" s="13"/>
      <c r="J191" s="12" t="str">
        <f aca="true">IF(B191="","",TODAY()-B191)</f>
        <v/>
      </c>
      <c r="K191" s="16" t="str">
        <f aca="true">IF(H191="","",IF(OR(H191="Enrolled",H191="Lost"),"Closed",IF(I191="","Set follow up date",IF(I191&lt;=TODAY(),"Follow up now","On track"))))</f>
        <v/>
      </c>
      <c r="L191" s="14"/>
    </row>
    <row r="192" customFormat="false" ht="15" hidden="false" customHeight="false" outlineLevel="0" collapsed="false">
      <c r="A192" s="12" t="str">
        <f aca="false">IF(B192="","",ROW()-4)</f>
        <v/>
      </c>
      <c r="B192" s="13"/>
      <c r="C192" s="14"/>
      <c r="D192" s="14"/>
      <c r="E192" s="14"/>
      <c r="F192" s="15"/>
      <c r="G192" s="15"/>
      <c r="H192" s="15"/>
      <c r="I192" s="13"/>
      <c r="J192" s="12" t="str">
        <f aca="true">IF(B192="","",TODAY()-B192)</f>
        <v/>
      </c>
      <c r="K192" s="16" t="str">
        <f aca="true">IF(H192="","",IF(OR(H192="Enrolled",H192="Lost"),"Closed",IF(I192="","Set follow up date",IF(I192&lt;=TODAY(),"Follow up now","On track"))))</f>
        <v/>
      </c>
      <c r="L192" s="14"/>
    </row>
    <row r="193" customFormat="false" ht="15" hidden="false" customHeight="false" outlineLevel="0" collapsed="false">
      <c r="A193" s="12" t="str">
        <f aca="false">IF(B193="","",ROW()-4)</f>
        <v/>
      </c>
      <c r="B193" s="13"/>
      <c r="C193" s="14"/>
      <c r="D193" s="14"/>
      <c r="E193" s="14"/>
      <c r="F193" s="15"/>
      <c r="G193" s="15"/>
      <c r="H193" s="15"/>
      <c r="I193" s="13"/>
      <c r="J193" s="12" t="str">
        <f aca="true">IF(B193="","",TODAY()-B193)</f>
        <v/>
      </c>
      <c r="K193" s="16" t="str">
        <f aca="true">IF(H193="","",IF(OR(H193="Enrolled",H193="Lost"),"Closed",IF(I193="","Set follow up date",IF(I193&lt;=TODAY(),"Follow up now","On track"))))</f>
        <v/>
      </c>
      <c r="L193" s="14"/>
    </row>
    <row r="194" customFormat="false" ht="15" hidden="false" customHeight="false" outlineLevel="0" collapsed="false">
      <c r="A194" s="12" t="str">
        <f aca="false">IF(B194="","",ROW()-4)</f>
        <v/>
      </c>
      <c r="B194" s="13"/>
      <c r="C194" s="14"/>
      <c r="D194" s="14"/>
      <c r="E194" s="14"/>
      <c r="F194" s="15"/>
      <c r="G194" s="15"/>
      <c r="H194" s="15"/>
      <c r="I194" s="13"/>
      <c r="J194" s="12" t="str">
        <f aca="true">IF(B194="","",TODAY()-B194)</f>
        <v/>
      </c>
      <c r="K194" s="16" t="str">
        <f aca="true">IF(H194="","",IF(OR(H194="Enrolled",H194="Lost"),"Closed",IF(I194="","Set follow up date",IF(I194&lt;=TODAY(),"Follow up now","On track"))))</f>
        <v/>
      </c>
      <c r="L194" s="14"/>
    </row>
    <row r="195" customFormat="false" ht="15" hidden="false" customHeight="false" outlineLevel="0" collapsed="false">
      <c r="A195" s="12" t="str">
        <f aca="false">IF(B195="","",ROW()-4)</f>
        <v/>
      </c>
      <c r="B195" s="13"/>
      <c r="C195" s="14"/>
      <c r="D195" s="14"/>
      <c r="E195" s="14"/>
      <c r="F195" s="15"/>
      <c r="G195" s="15"/>
      <c r="H195" s="15"/>
      <c r="I195" s="13"/>
      <c r="J195" s="12" t="str">
        <f aca="true">IF(B195="","",TODAY()-B195)</f>
        <v/>
      </c>
      <c r="K195" s="16" t="str">
        <f aca="true">IF(H195="","",IF(OR(H195="Enrolled",H195="Lost"),"Closed",IF(I195="","Set follow up date",IF(I195&lt;=TODAY(),"Follow up now","On track"))))</f>
        <v/>
      </c>
      <c r="L195" s="14"/>
    </row>
    <row r="196" customFormat="false" ht="15" hidden="false" customHeight="false" outlineLevel="0" collapsed="false">
      <c r="A196" s="12" t="str">
        <f aca="false">IF(B196="","",ROW()-4)</f>
        <v/>
      </c>
      <c r="B196" s="13"/>
      <c r="C196" s="14"/>
      <c r="D196" s="14"/>
      <c r="E196" s="14"/>
      <c r="F196" s="15"/>
      <c r="G196" s="15"/>
      <c r="H196" s="15"/>
      <c r="I196" s="13"/>
      <c r="J196" s="12" t="str">
        <f aca="true">IF(B196="","",TODAY()-B196)</f>
        <v/>
      </c>
      <c r="K196" s="16" t="str">
        <f aca="true">IF(H196="","",IF(OR(H196="Enrolled",H196="Lost"),"Closed",IF(I196="","Set follow up date",IF(I196&lt;=TODAY(),"Follow up now","On track"))))</f>
        <v/>
      </c>
      <c r="L196" s="14"/>
    </row>
    <row r="197" customFormat="false" ht="15" hidden="false" customHeight="false" outlineLevel="0" collapsed="false">
      <c r="A197" s="12" t="str">
        <f aca="false">IF(B197="","",ROW()-4)</f>
        <v/>
      </c>
      <c r="B197" s="13"/>
      <c r="C197" s="14"/>
      <c r="D197" s="14"/>
      <c r="E197" s="14"/>
      <c r="F197" s="15"/>
      <c r="G197" s="15"/>
      <c r="H197" s="15"/>
      <c r="I197" s="13"/>
      <c r="J197" s="12" t="str">
        <f aca="true">IF(B197="","",TODAY()-B197)</f>
        <v/>
      </c>
      <c r="K197" s="16" t="str">
        <f aca="true">IF(H197="","",IF(OR(H197="Enrolled",H197="Lost"),"Closed",IF(I197="","Set follow up date",IF(I197&lt;=TODAY(),"Follow up now","On track"))))</f>
        <v/>
      </c>
      <c r="L197" s="14"/>
    </row>
    <row r="198" customFormat="false" ht="15" hidden="false" customHeight="false" outlineLevel="0" collapsed="false">
      <c r="A198" s="12" t="str">
        <f aca="false">IF(B198="","",ROW()-4)</f>
        <v/>
      </c>
      <c r="B198" s="13"/>
      <c r="C198" s="14"/>
      <c r="D198" s="14"/>
      <c r="E198" s="14"/>
      <c r="F198" s="15"/>
      <c r="G198" s="15"/>
      <c r="H198" s="15"/>
      <c r="I198" s="13"/>
      <c r="J198" s="12" t="str">
        <f aca="true">IF(B198="","",TODAY()-B198)</f>
        <v/>
      </c>
      <c r="K198" s="16" t="str">
        <f aca="true">IF(H198="","",IF(OR(H198="Enrolled",H198="Lost"),"Closed",IF(I198="","Set follow up date",IF(I198&lt;=TODAY(),"Follow up now","On track"))))</f>
        <v/>
      </c>
      <c r="L198" s="14"/>
    </row>
    <row r="199" customFormat="false" ht="15" hidden="false" customHeight="false" outlineLevel="0" collapsed="false">
      <c r="A199" s="12" t="str">
        <f aca="false">IF(B199="","",ROW()-4)</f>
        <v/>
      </c>
      <c r="B199" s="13"/>
      <c r="C199" s="14"/>
      <c r="D199" s="14"/>
      <c r="E199" s="14"/>
      <c r="F199" s="15"/>
      <c r="G199" s="15"/>
      <c r="H199" s="15"/>
      <c r="I199" s="13"/>
      <c r="J199" s="12" t="str">
        <f aca="true">IF(B199="","",TODAY()-B199)</f>
        <v/>
      </c>
      <c r="K199" s="16" t="str">
        <f aca="true">IF(H199="","",IF(OR(H199="Enrolled",H199="Lost"),"Closed",IF(I199="","Set follow up date",IF(I199&lt;=TODAY(),"Follow up now","On track"))))</f>
        <v/>
      </c>
      <c r="L199" s="14"/>
    </row>
    <row r="200" customFormat="false" ht="15" hidden="false" customHeight="false" outlineLevel="0" collapsed="false">
      <c r="A200" s="12" t="str">
        <f aca="false">IF(B200="","",ROW()-4)</f>
        <v/>
      </c>
      <c r="B200" s="13"/>
      <c r="C200" s="14"/>
      <c r="D200" s="14"/>
      <c r="E200" s="14"/>
      <c r="F200" s="15"/>
      <c r="G200" s="15"/>
      <c r="H200" s="15"/>
      <c r="I200" s="13"/>
      <c r="J200" s="12" t="str">
        <f aca="true">IF(B200="","",TODAY()-B200)</f>
        <v/>
      </c>
      <c r="K200" s="16" t="str">
        <f aca="true">IF(H200="","",IF(OR(H200="Enrolled",H200="Lost"),"Closed",IF(I200="","Set follow up date",IF(I200&lt;=TODAY(),"Follow up now","On track"))))</f>
        <v/>
      </c>
      <c r="L200" s="14"/>
    </row>
    <row r="201" customFormat="false" ht="15" hidden="false" customHeight="false" outlineLevel="0" collapsed="false">
      <c r="A201" s="12" t="str">
        <f aca="false">IF(B201="","",ROW()-4)</f>
        <v/>
      </c>
      <c r="B201" s="13"/>
      <c r="C201" s="14"/>
      <c r="D201" s="14"/>
      <c r="E201" s="14"/>
      <c r="F201" s="15"/>
      <c r="G201" s="15"/>
      <c r="H201" s="15"/>
      <c r="I201" s="13"/>
      <c r="J201" s="12" t="str">
        <f aca="true">IF(B201="","",TODAY()-B201)</f>
        <v/>
      </c>
      <c r="K201" s="16" t="str">
        <f aca="true">IF(H201="","",IF(OR(H201="Enrolled",H201="Lost"),"Closed",IF(I201="","Set follow up date",IF(I201&lt;=TODAY(),"Follow up now","On track"))))</f>
        <v/>
      </c>
      <c r="L201" s="14"/>
    </row>
    <row r="202" customFormat="false" ht="15" hidden="false" customHeight="false" outlineLevel="0" collapsed="false">
      <c r="A202" s="12" t="str">
        <f aca="false">IF(B202="","",ROW()-4)</f>
        <v/>
      </c>
      <c r="B202" s="13"/>
      <c r="C202" s="14"/>
      <c r="D202" s="14"/>
      <c r="E202" s="14"/>
      <c r="F202" s="15"/>
      <c r="G202" s="15"/>
      <c r="H202" s="15"/>
      <c r="I202" s="13"/>
      <c r="J202" s="12" t="str">
        <f aca="true">IF(B202="","",TODAY()-B202)</f>
        <v/>
      </c>
      <c r="K202" s="16" t="str">
        <f aca="true">IF(H202="","",IF(OR(H202="Enrolled",H202="Lost"),"Closed",IF(I202="","Set follow up date",IF(I202&lt;=TODAY(),"Follow up now","On track"))))</f>
        <v/>
      </c>
      <c r="L202" s="14"/>
    </row>
    <row r="203" customFormat="false" ht="15" hidden="false" customHeight="false" outlineLevel="0" collapsed="false">
      <c r="A203" s="12" t="str">
        <f aca="false">IF(B203="","",ROW()-4)</f>
        <v/>
      </c>
      <c r="B203" s="13"/>
      <c r="C203" s="14"/>
      <c r="D203" s="14"/>
      <c r="E203" s="14"/>
      <c r="F203" s="15"/>
      <c r="G203" s="15"/>
      <c r="H203" s="15"/>
      <c r="I203" s="13"/>
      <c r="J203" s="12" t="str">
        <f aca="true">IF(B203="","",TODAY()-B203)</f>
        <v/>
      </c>
      <c r="K203" s="16" t="str">
        <f aca="true">IF(H203="","",IF(OR(H203="Enrolled",H203="Lost"),"Closed",IF(I203="","Set follow up date",IF(I203&lt;=TODAY(),"Follow up now","On track"))))</f>
        <v/>
      </c>
      <c r="L203" s="14"/>
    </row>
    <row r="204" customFormat="false" ht="15" hidden="false" customHeight="false" outlineLevel="0" collapsed="false">
      <c r="A204" s="12" t="str">
        <f aca="false">IF(B204="","",ROW()-4)</f>
        <v/>
      </c>
      <c r="B204" s="13"/>
      <c r="C204" s="14"/>
      <c r="D204" s="14"/>
      <c r="E204" s="14"/>
      <c r="F204" s="15"/>
      <c r="G204" s="15"/>
      <c r="H204" s="15"/>
      <c r="I204" s="13"/>
      <c r="J204" s="12" t="str">
        <f aca="true">IF(B204="","",TODAY()-B204)</f>
        <v/>
      </c>
      <c r="K204" s="16" t="str">
        <f aca="true">IF(H204="","",IF(OR(H204="Enrolled",H204="Lost"),"Closed",IF(I204="","Set follow up date",IF(I204&lt;=TODAY(),"Follow up now","On track"))))</f>
        <v/>
      </c>
      <c r="L204" s="14"/>
    </row>
  </sheetData>
  <autoFilter ref="A4:L204"/>
  <conditionalFormatting sqref="K5:K204">
    <cfRule type="expression" priority="2" aboveAverage="0" equalAverage="0" bottom="0" percent="0" rank="0" text="" dxfId="21">
      <formula>$K5="Follow up now"</formula>
    </cfRule>
    <cfRule type="expression" priority="3" aboveAverage="0" equalAverage="0" bottom="0" percent="0" rank="0" text="" dxfId="22">
      <formula>$K5="Set follow up date"</formula>
    </cfRule>
    <cfRule type="expression" priority="4" aboveAverage="0" equalAverage="0" bottom="0" percent="0" rank="0" text="" dxfId="23">
      <formula>$K5="On track"</formula>
    </cfRule>
  </conditionalFormatting>
  <conditionalFormatting sqref="H5:H204">
    <cfRule type="expression" priority="5" aboveAverage="0" equalAverage="0" bottom="0" percent="0" rank="0" text="" dxfId="24">
      <formula>$H5="New"</formula>
    </cfRule>
    <cfRule type="expression" priority="6" aboveAverage="0" equalAverage="0" bottom="0" percent="0" rank="0" text="" dxfId="25">
      <formula>$H5="Contacted"</formula>
    </cfRule>
    <cfRule type="expression" priority="7" aboveAverage="0" equalAverage="0" bottom="0" percent="0" rank="0" text="" dxfId="26">
      <formula>$H5="Visit Booked"</formula>
    </cfRule>
    <cfRule type="expression" priority="8" aboveAverage="0" equalAverage="0" bottom="0" percent="0" rank="0" text="" dxfId="27">
      <formula>$H5="Visited"</formula>
    </cfRule>
    <cfRule type="expression" priority="9" aboveAverage="0" equalAverage="0" bottom="0" percent="0" rank="0" text="" dxfId="28">
      <formula>$H5="Enrolled"</formula>
    </cfRule>
    <cfRule type="expression" priority="10" aboveAverage="0" equalAverage="0" bottom="0" percent="0" rank="0" text="" dxfId="29">
      <formula>$H5="Lost"</formula>
    </cfRule>
  </conditionalFormatting>
  <conditionalFormatting sqref="B5:E204">
    <cfRule type="expression" priority="11" aboveAverage="0" equalAverage="0" bottom="0" percent="0" rank="0" text="" dxfId="30">
      <formula>MOD(ROW(),2)=0</formula>
    </cfRule>
  </conditionalFormatting>
  <dataValidations count="3">
    <dataValidation allowBlank="true" errorStyle="stop" operator="between" showDropDown="false" showErrorMessage="false" showInputMessage="false" sqref="F5:F204" type="list">
      <formula1>"Nursery,Prep,Grade 1,Grade 2,Grade 3,Grade 4,Grade 5,Grade 6,Grade 7,Grade 8,Grade 9"</formula1>
      <formula2>0</formula2>
    </dataValidation>
    <dataValidation allowBlank="true" errorStyle="stop" operator="between" showDropDown="false" showErrorMessage="false" showInputMessage="false" sqref="G5:G204" type="list">
      <formula1>"Walk in,Phone call,WhatsApp,Website form,Instagram,Referral"</formula1>
      <formula2>0</formula2>
    </dataValidation>
    <dataValidation allowBlank="true" errorStyle="stop" operator="between" showDropDown="false" showErrorMessage="false" showInputMessage="false" sqref="H5:H204" type="list">
      <formula1>"New,Contacted,Visit Booked,Visited,Enrolled,Lost"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tru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5" min="5" style="0" width="3"/>
    <col collapsed="false" customWidth="true" hidden="false" outlineLevel="0" max="12" min="6" style="0" width="12"/>
  </cols>
  <sheetData>
    <row r="1" customFormat="false" ht="33.75" hidden="false" customHeight="true" outlineLevel="0" collapsed="false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21.75" hidden="false" customHeight="true" outlineLevel="0" collapsed="false">
      <c r="A5" s="17" t="s">
        <v>108</v>
      </c>
      <c r="B5" s="17"/>
      <c r="C5" s="18" t="s">
        <v>109</v>
      </c>
      <c r="D5" s="18"/>
      <c r="F5" s="19" t="s">
        <v>110</v>
      </c>
      <c r="G5" s="19"/>
      <c r="H5" s="20" t="s">
        <v>111</v>
      </c>
      <c r="I5" s="20"/>
      <c r="J5" s="21" t="s">
        <v>112</v>
      </c>
      <c r="K5" s="21"/>
    </row>
    <row r="6" customFormat="false" ht="45.75" hidden="false" customHeight="true" outlineLevel="0" collapsed="false">
      <c r="A6" s="22" t="n">
        <f aca="false">COUNT(Inquiries!$B$5:$B$204)</f>
        <v>15</v>
      </c>
      <c r="B6" s="22"/>
      <c r="C6" s="23" t="n">
        <f aca="false">A6-B14-B15</f>
        <v>10</v>
      </c>
      <c r="D6" s="23"/>
      <c r="F6" s="24" t="n">
        <f aca="false">B14</f>
        <v>3</v>
      </c>
      <c r="G6" s="24"/>
      <c r="H6" s="25" t="n">
        <f aca="false">IFERROR(B14/A6,0)</f>
        <v>0.2</v>
      </c>
      <c r="I6" s="25"/>
      <c r="J6" s="26" t="n">
        <f aca="false">COUNTIF(Inquiries!$K$5:$K$204,"Follow up now")</f>
        <v>5</v>
      </c>
      <c r="K6" s="26"/>
    </row>
    <row r="8" customFormat="false" ht="15" hidden="false" customHeight="false" outlineLevel="0" collapsed="false">
      <c r="A8" s="27" t="s">
        <v>113</v>
      </c>
    </row>
    <row r="9" customFormat="false" ht="15" hidden="false" customHeight="false" outlineLevel="0" collapsed="false">
      <c r="A9" s="28" t="s">
        <v>24</v>
      </c>
      <c r="B9" s="28" t="s">
        <v>114</v>
      </c>
    </row>
    <row r="10" customFormat="false" ht="15" hidden="false" customHeight="false" outlineLevel="0" collapsed="false">
      <c r="A10" s="29" t="s">
        <v>82</v>
      </c>
      <c r="B10" s="30" t="n">
        <f aca="false">COUNTIF(Inquiries!$H$5:$H$204,A10)</f>
        <v>3</v>
      </c>
    </row>
    <row r="11" customFormat="false" ht="15" hidden="false" customHeight="false" outlineLevel="0" collapsed="false">
      <c r="A11" s="31" t="s">
        <v>48</v>
      </c>
      <c r="B11" s="32" t="n">
        <f aca="false">COUNTIF(Inquiries!$H$5:$H$204,A11)</f>
        <v>3</v>
      </c>
    </row>
    <row r="12" customFormat="false" ht="15" hidden="false" customHeight="false" outlineLevel="0" collapsed="false">
      <c r="A12" s="29" t="s">
        <v>66</v>
      </c>
      <c r="B12" s="30" t="n">
        <f aca="false">COUNTIF(Inquiries!$H$5:$H$204,A12)</f>
        <v>2</v>
      </c>
    </row>
    <row r="13" customFormat="false" ht="15" hidden="false" customHeight="false" outlineLevel="0" collapsed="false">
      <c r="A13" s="31" t="s">
        <v>41</v>
      </c>
      <c r="B13" s="32" t="n">
        <f aca="false">COUNTIF(Inquiries!$H$5:$H$204,A13)</f>
        <v>2</v>
      </c>
    </row>
    <row r="14" customFormat="false" ht="15" hidden="false" customHeight="false" outlineLevel="0" collapsed="false">
      <c r="A14" s="29" t="s">
        <v>34</v>
      </c>
      <c r="B14" s="30" t="n">
        <f aca="false">COUNTIF(Inquiries!$H$5:$H$204,A14)</f>
        <v>3</v>
      </c>
    </row>
    <row r="15" customFormat="false" ht="15" hidden="false" customHeight="false" outlineLevel="0" collapsed="false">
      <c r="A15" s="31" t="s">
        <v>60</v>
      </c>
      <c r="B15" s="32" t="n">
        <f aca="false">COUNTIF(Inquiries!$H$5:$H$204,A15)</f>
        <v>2</v>
      </c>
    </row>
    <row r="18" customFormat="false" ht="15" hidden="false" customHeight="false" outlineLevel="0" collapsed="false">
      <c r="A18" s="27" t="s">
        <v>115</v>
      </c>
    </row>
    <row r="19" customFormat="false" ht="15" hidden="false" customHeight="false" outlineLevel="0" collapsed="false">
      <c r="A19" s="28" t="s">
        <v>23</v>
      </c>
      <c r="B19" s="28" t="s">
        <v>116</v>
      </c>
      <c r="C19" s="28" t="s">
        <v>34</v>
      </c>
      <c r="D19" s="28" t="s">
        <v>117</v>
      </c>
    </row>
    <row r="20" customFormat="false" ht="15" hidden="false" customHeight="false" outlineLevel="0" collapsed="false">
      <c r="A20" s="29" t="s">
        <v>33</v>
      </c>
      <c r="B20" s="30" t="n">
        <f aca="false">COUNTIF(Inquiries!$G$5:$G$204,A20)</f>
        <v>3</v>
      </c>
      <c r="C20" s="30" t="n">
        <f aca="false">COUNTIFS(Inquiries!$G$5:$G$204,A20,Inquiries!$H$5:$H$204,"Enrolled")</f>
        <v>1</v>
      </c>
      <c r="D20" s="33" t="n">
        <f aca="false">IFERROR(C20/B20,0)</f>
        <v>0.333333333333333</v>
      </c>
    </row>
    <row r="21" customFormat="false" ht="15" hidden="false" customHeight="false" outlineLevel="0" collapsed="false">
      <c r="A21" s="31" t="s">
        <v>54</v>
      </c>
      <c r="B21" s="32" t="n">
        <f aca="false">COUNTIF(Inquiries!$G$5:$G$204,A21)</f>
        <v>2</v>
      </c>
      <c r="C21" s="32" t="n">
        <f aca="false">COUNTIFS(Inquiries!$G$5:$G$204,A21,Inquiries!$H$5:$H$204,"Enrolled")</f>
        <v>1</v>
      </c>
      <c r="D21" s="34" t="n">
        <f aca="false">IFERROR(C21/B21,0)</f>
        <v>0.5</v>
      </c>
    </row>
    <row r="22" customFormat="false" ht="15" hidden="false" customHeight="false" outlineLevel="0" collapsed="false">
      <c r="A22" s="29" t="s">
        <v>40</v>
      </c>
      <c r="B22" s="30" t="n">
        <f aca="false">COUNTIF(Inquiries!$G$5:$G$204,A22)</f>
        <v>3</v>
      </c>
      <c r="C22" s="30" t="n">
        <f aca="false">COUNTIFS(Inquiries!$G$5:$G$204,A22,Inquiries!$H$5:$H$204,"Enrolled")</f>
        <v>0</v>
      </c>
      <c r="D22" s="33" t="n">
        <f aca="false">IFERROR(C22/B22,0)</f>
        <v>0</v>
      </c>
    </row>
    <row r="23" customFormat="false" ht="15" hidden="false" customHeight="false" outlineLevel="0" collapsed="false">
      <c r="A23" s="31" t="s">
        <v>59</v>
      </c>
      <c r="B23" s="32" t="n">
        <f aca="false">COUNTIF(Inquiries!$G$5:$G$204,A23)</f>
        <v>3</v>
      </c>
      <c r="C23" s="32" t="n">
        <f aca="false">COUNTIFS(Inquiries!$G$5:$G$204,A23,Inquiries!$H$5:$H$204,"Enrolled")</f>
        <v>0</v>
      </c>
      <c r="D23" s="34" t="n">
        <f aca="false">IFERROR(C23/B23,0)</f>
        <v>0</v>
      </c>
    </row>
    <row r="24" customFormat="false" ht="15" hidden="false" customHeight="false" outlineLevel="0" collapsed="false">
      <c r="A24" s="29" t="s">
        <v>47</v>
      </c>
      <c r="B24" s="30" t="n">
        <f aca="false">COUNTIF(Inquiries!$G$5:$G$204,A24)</f>
        <v>3</v>
      </c>
      <c r="C24" s="30" t="n">
        <f aca="false">COUNTIFS(Inquiries!$G$5:$G$204,A24,Inquiries!$H$5:$H$204,"Enrolled")</f>
        <v>0</v>
      </c>
      <c r="D24" s="33" t="n">
        <f aca="false">IFERROR(C24/B24,0)</f>
        <v>0</v>
      </c>
    </row>
    <row r="25" customFormat="false" ht="15" hidden="false" customHeight="false" outlineLevel="0" collapsed="false">
      <c r="A25" s="31" t="s">
        <v>76</v>
      </c>
      <c r="B25" s="32" t="n">
        <f aca="false">COUNTIF(Inquiries!$G$5:$G$204,A25)</f>
        <v>1</v>
      </c>
      <c r="C25" s="32" t="n">
        <f aca="false">COUNTIFS(Inquiries!$G$5:$G$204,A25,Inquiries!$H$5:$H$204,"Enrolled")</f>
        <v>1</v>
      </c>
      <c r="D25" s="34" t="n">
        <f aca="false">IFERROR(C25/B25,0)</f>
        <v>1</v>
      </c>
    </row>
    <row r="28" customFormat="false" ht="15" hidden="false" customHeight="false" outlineLevel="0" collapsed="false">
      <c r="A28" s="27" t="s">
        <v>118</v>
      </c>
    </row>
    <row r="29" customFormat="false" ht="15" hidden="false" customHeight="false" outlineLevel="0" collapsed="false">
      <c r="A29" s="28" t="s">
        <v>22</v>
      </c>
      <c r="B29" s="28" t="s">
        <v>116</v>
      </c>
      <c r="C29" s="28" t="s">
        <v>34</v>
      </c>
      <c r="D29" s="28" t="s">
        <v>117</v>
      </c>
    </row>
    <row r="30" customFormat="false" ht="15" hidden="false" customHeight="false" outlineLevel="0" collapsed="false">
      <c r="A30" s="29" t="s">
        <v>39</v>
      </c>
      <c r="B30" s="30" t="n">
        <f aca="false">COUNTIF(Inquiries!$F$5:$F$204,A30)</f>
        <v>3</v>
      </c>
      <c r="C30" s="30" t="n">
        <f aca="false">COUNTIFS(Inquiries!$F$5:$F$204,A30,Inquiries!$H$5:$H$204,"Enrolled")</f>
        <v>1</v>
      </c>
      <c r="D30" s="33" t="n">
        <f aca="false">IFERROR(C30/B30,0)</f>
        <v>0.333333333333333</v>
      </c>
    </row>
    <row r="31" customFormat="false" ht="15" hidden="false" customHeight="false" outlineLevel="0" collapsed="false">
      <c r="A31" s="31" t="s">
        <v>53</v>
      </c>
      <c r="B31" s="32" t="n">
        <f aca="false">COUNTIF(Inquiries!$F$5:$F$204,A31)</f>
        <v>2</v>
      </c>
      <c r="C31" s="32" t="n">
        <f aca="false">COUNTIFS(Inquiries!$F$5:$F$204,A31,Inquiries!$H$5:$H$204,"Enrolled")</f>
        <v>1</v>
      </c>
      <c r="D31" s="34" t="n">
        <f aca="false">IFERROR(C31/B31,0)</f>
        <v>0.5</v>
      </c>
    </row>
    <row r="32" customFormat="false" ht="15" hidden="false" customHeight="false" outlineLevel="0" collapsed="false">
      <c r="A32" s="29" t="s">
        <v>46</v>
      </c>
      <c r="B32" s="30" t="n">
        <f aca="false">COUNTIF(Inquiries!$F$5:$F$204,A32)</f>
        <v>2</v>
      </c>
      <c r="C32" s="30" t="n">
        <f aca="false">COUNTIFS(Inquiries!$F$5:$F$204,A32,Inquiries!$H$5:$H$204,"Enrolled")</f>
        <v>0</v>
      </c>
      <c r="D32" s="33" t="n">
        <f aca="false">IFERROR(C32/B32,0)</f>
        <v>0</v>
      </c>
    </row>
    <row r="33" customFormat="false" ht="15" hidden="false" customHeight="false" outlineLevel="0" collapsed="false">
      <c r="A33" s="31" t="s">
        <v>65</v>
      </c>
      <c r="B33" s="32" t="n">
        <f aca="false">COUNTIF(Inquiries!$F$5:$F$204,A33)</f>
        <v>1</v>
      </c>
      <c r="C33" s="32" t="n">
        <f aca="false">COUNTIFS(Inquiries!$F$5:$F$204,A33,Inquiries!$H$5:$H$204,"Enrolled")</f>
        <v>0</v>
      </c>
      <c r="D33" s="34" t="n">
        <f aca="false">IFERROR(C33/B33,0)</f>
        <v>0</v>
      </c>
    </row>
    <row r="34" customFormat="false" ht="15" hidden="false" customHeight="false" outlineLevel="0" collapsed="false">
      <c r="A34" s="29" t="s">
        <v>32</v>
      </c>
      <c r="B34" s="30" t="n">
        <f aca="false">COUNTIF(Inquiries!$F$5:$F$204,A34)</f>
        <v>2</v>
      </c>
      <c r="C34" s="30" t="n">
        <f aca="false">COUNTIFS(Inquiries!$F$5:$F$204,A34,Inquiries!$H$5:$H$204,"Enrolled")</f>
        <v>1</v>
      </c>
      <c r="D34" s="33" t="n">
        <f aca="false">IFERROR(C34/B34,0)</f>
        <v>0.5</v>
      </c>
    </row>
    <row r="35" customFormat="false" ht="15" hidden="false" customHeight="false" outlineLevel="0" collapsed="false">
      <c r="A35" s="31" t="s">
        <v>71</v>
      </c>
      <c r="B35" s="32" t="n">
        <f aca="false">COUNTIF(Inquiries!$F$5:$F$204,A35)</f>
        <v>1</v>
      </c>
      <c r="C35" s="32" t="n">
        <f aca="false">COUNTIFS(Inquiries!$F$5:$F$204,A35,Inquiries!$H$5:$H$204,"Enrolled")</f>
        <v>0</v>
      </c>
      <c r="D35" s="34" t="n">
        <f aca="false">IFERROR(C35/B35,0)</f>
        <v>0</v>
      </c>
    </row>
    <row r="36" customFormat="false" ht="15" hidden="false" customHeight="false" outlineLevel="0" collapsed="false">
      <c r="A36" s="29" t="s">
        <v>81</v>
      </c>
      <c r="B36" s="30" t="n">
        <f aca="false">COUNTIF(Inquiries!$F$5:$F$204,A36)</f>
        <v>1</v>
      </c>
      <c r="C36" s="30" t="n">
        <f aca="false">COUNTIFS(Inquiries!$F$5:$F$204,A36,Inquiries!$H$5:$H$204,"Enrolled")</f>
        <v>0</v>
      </c>
      <c r="D36" s="33" t="n">
        <f aca="false">IFERROR(C36/B36,0)</f>
        <v>0</v>
      </c>
    </row>
    <row r="37" customFormat="false" ht="15" hidden="false" customHeight="false" outlineLevel="0" collapsed="false">
      <c r="A37" s="31" t="s">
        <v>58</v>
      </c>
      <c r="B37" s="32" t="n">
        <f aca="false">COUNTIF(Inquiries!$F$5:$F$204,A37)</f>
        <v>1</v>
      </c>
      <c r="C37" s="32" t="n">
        <f aca="false">COUNTIFS(Inquiries!$F$5:$F$204,A37,Inquiries!$H$5:$H$204,"Enrolled")</f>
        <v>0</v>
      </c>
      <c r="D37" s="34" t="n">
        <f aca="false">IFERROR(C37/B37,0)</f>
        <v>0</v>
      </c>
    </row>
    <row r="38" customFormat="false" ht="15" hidden="false" customHeight="false" outlineLevel="0" collapsed="false">
      <c r="A38" s="29" t="s">
        <v>98</v>
      </c>
      <c r="B38" s="30" t="n">
        <f aca="false">COUNTIF(Inquiries!$F$5:$F$204,A38)</f>
        <v>1</v>
      </c>
      <c r="C38" s="30" t="n">
        <f aca="false">COUNTIFS(Inquiries!$F$5:$F$204,A38,Inquiries!$H$5:$H$204,"Enrolled")</f>
        <v>0</v>
      </c>
      <c r="D38" s="33" t="n">
        <f aca="false">IFERROR(C38/B38,0)</f>
        <v>0</v>
      </c>
    </row>
    <row r="39" customFormat="false" ht="15" hidden="false" customHeight="false" outlineLevel="0" collapsed="false">
      <c r="A39" s="31" t="s">
        <v>86</v>
      </c>
      <c r="B39" s="32" t="n">
        <f aca="false">COUNTIF(Inquiries!$F$5:$F$204,A39)</f>
        <v>1</v>
      </c>
      <c r="C39" s="32" t="n">
        <f aca="false">COUNTIFS(Inquiries!$F$5:$F$204,A39,Inquiries!$H$5:$H$204,"Enrolled")</f>
        <v>0</v>
      </c>
      <c r="D39" s="34" t="n">
        <f aca="false">IFERROR(C39/B39,0)</f>
        <v>0</v>
      </c>
    </row>
    <row r="40" customFormat="false" ht="15" hidden="false" customHeight="false" outlineLevel="0" collapsed="false">
      <c r="A40" s="29" t="s">
        <v>119</v>
      </c>
      <c r="B40" s="30" t="n">
        <f aca="false">COUNTIF(Inquiries!$F$5:$F$204,A40)</f>
        <v>0</v>
      </c>
      <c r="C40" s="30" t="n">
        <f aca="false">COUNTIFS(Inquiries!$F$5:$F$204,A40,Inquiries!$H$5:$H$204,"Enrolled")</f>
        <v>0</v>
      </c>
      <c r="D40" s="33" t="n">
        <f aca="false">IFERROR(C40/B40,0)</f>
        <v>0</v>
      </c>
    </row>
  </sheetData>
  <mergeCells count="10">
    <mergeCell ref="A5:B5"/>
    <mergeCell ref="C5:D5"/>
    <mergeCell ref="F5:G5"/>
    <mergeCell ref="H5:I5"/>
    <mergeCell ref="J5:K5"/>
    <mergeCell ref="A6:B6"/>
    <mergeCell ref="C6:D6"/>
    <mergeCell ref="F6:G6"/>
    <mergeCell ref="H6:I6"/>
    <mergeCell ref="J6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2026-10-06T08:02:08Z</dcterms:created>
  <dc:creator>openpyxl</dc:creator>
  <dc:description/>
  <dc:language>en-US</dc:language>
  <cp:lastModifiedBy/>
  <dcterms:modified xsi:type="dcterms:W3CDTF">2026-10-06T08:02:11Z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